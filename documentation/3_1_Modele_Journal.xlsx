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bersier\projet-306-tercier-morales-bersier\documentation\"/>
    </mc:Choice>
  </mc:AlternateContent>
  <xr:revisionPtr revIDLastSave="0" documentId="13_ncr:1_{ECAEC60C-ABE3-4CE2-BBEC-D7EB31E6E5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0" l="1"/>
  <c r="D18" i="10"/>
  <c r="D11" i="10"/>
  <c r="D81" i="10"/>
  <c r="D74" i="10"/>
  <c r="D67" i="10"/>
  <c r="D60" i="10"/>
  <c r="D53" i="10"/>
  <c r="D46" i="10"/>
  <c r="D39" i="10"/>
  <c r="D32" i="10"/>
  <c r="D81" i="9"/>
  <c r="D74" i="9"/>
  <c r="D67" i="9"/>
  <c r="D60" i="9"/>
  <c r="D53" i="9"/>
  <c r="D46" i="9"/>
  <c r="D39" i="9"/>
  <c r="D32" i="9"/>
  <c r="D25" i="9"/>
  <c r="D18" i="9"/>
  <c r="D11" i="9"/>
  <c r="D25" i="8"/>
  <c r="D60" i="8"/>
  <c r="D53" i="8"/>
  <c r="D46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<sst xmlns="http://schemas.openxmlformats.org/spreadsheetml/2006/main" count="121" uniqueCount="41">
  <si>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</si>
  <si>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</si>
  <si>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</si>
  <si>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</si>
  <si>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</si>
  <si>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</si>
  <si>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</si>
  <si>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</si>
  <si>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</si>
  <si>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</si>
  <si>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</si>
  <si>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</si>
  <si>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</si>
  <si>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</si>
  <si>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</si>
  <si>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</si>
  <si>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</si>
  <si>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</si>
  <si>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</si>
  <si>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</si>
  <si>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</si>
  <si>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</si>
  <si>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</si>
  <si>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</si>
  <si>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</si>
  <si>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</si>
  <si>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</si>
  <si>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</si>
  <si>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</si>
  <si>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</si>
  <si>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</si>
  <si>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</si>
  <si>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</si>
  <si>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</si>
  <si>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</si>
  <si>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</si>
  <si>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</si>
  <si>
    <t>Configurer Lecteur RFID + Ecran LCD</t>
  </si>
  <si>
    <t>Diagramme de sequence</t>
  </si>
  <si>
    <t>Mise à jour du KanBan</t>
  </si>
  <si>
    <t>On a été très efficace aujourd'hui on a très bien avancé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</si>
</sst>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topLeftCell="A29" zoomScale="115" zoomScaleNormal="115" zoomScaleSheetLayoutView="115" workbookViewId="0">
      <pane ySplit="1" topLeftCell="A9" activePane="bottomLeft"/>
      <selection activeCell="D5" sqref="A5:XFD5"/>
      <selection pane="bottomLeft" activeCell="I38" sqref="I3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15</v>
      </c>
      <c r="B1" s="27"/>
      <c r="C1" s="27"/>
      <c r="D1" s="27"/>
    </row>
    <row r="2" spans="1:4" ht="18" x14ac:dyDescent="0.25">
      <c r="A2" s="34" t="s">
        <v>16</v>
      </c>
      <c r="B2" s="34"/>
      <c r="C2" s="35"/>
      <c r="D2" s="4">
        <v>1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3</v>
      </c>
    </row>
    <row r="5" spans="1:4" ht="13.5" thickBot="1" x14ac:dyDescent="0.25">
      <c r="A5" s="30"/>
      <c r="B5" s="30"/>
      <c r="C5" s="31"/>
      <c r="D5" s="6" t="s">
        <v>4</v>
      </c>
    </row>
    <row r="6" spans="1:4" ht="12.75" customHeight="1" x14ac:dyDescent="0.2">
      <c r="A6" s="36">
        <v>45992</v>
      </c>
      <c r="B6" s="32" t="s">
        <v>17</v>
      </c>
      <c r="C6" s="33"/>
      <c r="D6" s="7">
        <v>2</v>
      </c>
    </row>
    <row r="7" spans="1:4" x14ac:dyDescent="0.2">
      <c r="A7" s="15"/>
      <c r="B7" s="18" t="s">
        <v>18</v>
      </c>
      <c r="C7" s="19"/>
      <c r="D7" s="8">
        <v>2</v>
      </c>
    </row>
    <row r="8" spans="1:4" x14ac:dyDescent="0.2">
      <c r="A8" s="15"/>
      <c r="B8" s="18" t="s">
        <v>19</v>
      </c>
      <c r="C8" s="19"/>
      <c r="D8" s="8">
        <v>2</v>
      </c>
    </row>
    <row r="9" spans="1:4" x14ac:dyDescent="0.2">
      <c r="A9" s="15"/>
      <c r="B9" s="18" t="s">
        <v>20</v>
      </c>
      <c r="C9" s="19"/>
      <c r="D9" s="8">
        <v>2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5</v>
      </c>
      <c r="C11" s="3" t="s">
        <v>6</v>
      </c>
      <c r="D11" s="9">
        <f>SUM(D6:D10)</f>
        <v>8</v>
      </c>
    </row>
    <row r="12" spans="1:4" ht="24.95" customHeight="1" x14ac:dyDescent="0.2">
      <c r="A12" s="15"/>
      <c r="B12" s="20" t="s">
        <v>26</v>
      </c>
      <c r="C12" s="21"/>
      <c r="D12" s="22"/>
    </row>
    <row r="13" spans="1:4" ht="12.75" customHeight="1" x14ac:dyDescent="0.2">
      <c r="A13" s="14">
        <v>45993</v>
      </c>
      <c r="B13" s="16" t="s">
        <v>20</v>
      </c>
      <c r="C13" s="17"/>
      <c r="D13" s="7">
        <v>2</v>
      </c>
    </row>
    <row r="14" spans="1:4" x14ac:dyDescent="0.2">
      <c r="A14" s="15"/>
      <c r="B14" s="18" t="s">
        <v>21</v>
      </c>
      <c r="C14" s="19"/>
      <c r="D14" s="8">
        <v>2</v>
      </c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5</v>
      </c>
      <c r="C18" s="3" t="s">
        <v>6</v>
      </c>
      <c r="D18" s="9">
        <f>SUM(D13:D17)</f>
        <v>4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>
        <v>46000</v>
      </c>
      <c r="B20" s="16" t="s">
        <v>27</v>
      </c>
      <c r="C20" s="17"/>
      <c r="D20" s="7">
        <v>3</v>
      </c>
    </row>
    <row r="21" spans="1:4" x14ac:dyDescent="0.2">
      <c r="A21" s="15"/>
      <c r="B21" s="18" t="s">
        <v>29</v>
      </c>
      <c r="C21" s="19"/>
      <c r="D21" s="8">
        <v>1</v>
      </c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5</v>
      </c>
      <c r="C25" s="3" t="s">
        <v>6</v>
      </c>
      <c r="D25" s="9">
        <f>SUM(D20:D24)</f>
        <v>4</v>
      </c>
    </row>
    <row r="26" spans="1:4" ht="24.95" customHeight="1" x14ac:dyDescent="0.2">
      <c r="A26" s="15"/>
      <c r="B26" s="20" t="s">
        <v>28</v>
      </c>
      <c r="C26" s="21"/>
      <c r="D26" s="22"/>
    </row>
    <row r="27" spans="1:4" ht="12.75" customHeight="1" x14ac:dyDescent="0.2">
      <c r="A27" s="14">
        <v>46006</v>
      </c>
      <c r="B27" s="16" t="s">
        <v>37</v>
      </c>
      <c r="C27" s="17"/>
      <c r="D27" s="7">
        <v>4</v>
      </c>
    </row>
    <row r="28" spans="1:4" x14ac:dyDescent="0.2">
      <c r="A28" s="15"/>
      <c r="B28" s="18" t="s">
        <v>38</v>
      </c>
      <c r="C28" s="19"/>
      <c r="D28" s="8">
        <v>2</v>
      </c>
    </row>
    <row r="29" spans="1:4" x14ac:dyDescent="0.2">
      <c r="A29" s="15"/>
      <c r="B29" s="18" t="s">
        <v>39</v>
      </c>
      <c r="C29" s="19"/>
      <c r="D29" s="8">
        <v>2</v>
      </c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5</v>
      </c>
      <c r="C32" s="3" t="s">
        <v>6</v>
      </c>
      <c r="D32" s="9">
        <f>SUM(D27:D31)</f>
        <v>8</v>
      </c>
    </row>
    <row r="33" spans="1:4" ht="24.95" customHeight="1" x14ac:dyDescent="0.2">
      <c r="A33" s="23"/>
      <c r="B33" s="24" t="s">
        <v>40</v>
      </c>
      <c r="C33" s="25"/>
      <c r="D33" s="26"/>
    </row>
    <row r="34" spans="1:4" ht="12.75" customHeight="1" x14ac:dyDescent="0.2">
      <c r="A34" s="14">
        <v>46007</v>
      </c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5</v>
      </c>
      <c r="C39" s="3" t="s">
        <v>6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>
        <v>46028</v>
      </c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5</v>
      </c>
      <c r="C46" s="3" t="s">
        <v>6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>
        <v>46028</v>
      </c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5</v>
      </c>
      <c r="C53" s="3" t="s">
        <v>6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>
        <v>46034</v>
      </c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5</v>
      </c>
      <c r="C60" s="3" t="s">
        <v>6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>
        <v>46035</v>
      </c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5</v>
      </c>
      <c r="C67" s="3" t="s">
        <v>6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5</v>
      </c>
      <c r="C74" s="3" t="s">
        <v>6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5</v>
      </c>
      <c r="C81" s="3" t="s">
        <v>6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24</v>
      </c>
    </row>
    <row r="84" spans="1:4" x14ac:dyDescent="0.2">
      <c r="A84" s="13" t="s">
        <v>8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opLeftCell="A12" zoomScale="115" zoomScaleNormal="115" zoomScaleSheetLayoutView="115" workbookViewId="0">
      <pane ySplit="1" activePane="bottomLeft"/>
      <selection activeCell="A5" sqref="A5:XFD5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>
        <v>2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3</v>
      </c>
    </row>
    <row r="5" spans="1:4" ht="13.5" thickBot="1" x14ac:dyDescent="0.25">
      <c r="A5" s="30"/>
      <c r="B5" s="30"/>
      <c r="C5" s="31"/>
      <c r="D5" s="6" t="s">
        <v>4</v>
      </c>
    </row>
    <row r="6" spans="1:4" ht="12.75" customHeight="1" x14ac:dyDescent="0.2">
      <c r="A6" s="36">
        <v>45992</v>
      </c>
      <c r="B6" s="32" t="s">
        <v>11</v>
      </c>
      <c r="C6" s="33"/>
      <c r="D6" s="7">
        <v>4</v>
      </c>
    </row>
    <row r="7" spans="1:4" x14ac:dyDescent="0.2">
      <c r="A7" s="15"/>
      <c r="B7" s="18" t="s">
        <v>12</v>
      </c>
      <c r="C7" s="19"/>
      <c r="D7" s="8">
        <v>4</v>
      </c>
    </row>
    <row r="8" spans="1:4" x14ac:dyDescent="0.2">
      <c r="A8" s="15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5</v>
      </c>
      <c r="C11" s="3" t="s">
        <v>6</v>
      </c>
      <c r="D11" s="9">
        <f>SUM(D6:D10)</f>
        <v>8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>
        <v>45993</v>
      </c>
      <c r="B13" s="16" t="s">
        <v>13</v>
      </c>
      <c r="C13" s="17"/>
      <c r="D13" s="7">
        <v>1</v>
      </c>
    </row>
    <row r="14" spans="1:4" x14ac:dyDescent="0.2">
      <c r="A14" s="15"/>
      <c r="B14" s="18" t="s">
        <v>14</v>
      </c>
      <c r="C14" s="19"/>
      <c r="D14" s="8">
        <v>1</v>
      </c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5</v>
      </c>
      <c r="C18" s="3" t="s">
        <v>6</v>
      </c>
      <c r="D18" s="9">
        <f>SUM(D13:D17)</f>
        <v>2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>
        <v>46000</v>
      </c>
      <c r="B20" s="16" t="s">
        <v>22</v>
      </c>
      <c r="C20" s="17"/>
      <c r="D20" s="7">
        <v>0.5</v>
      </c>
    </row>
    <row r="21" spans="1:4" x14ac:dyDescent="0.2">
      <c r="A21" s="15"/>
      <c r="B21" s="18" t="s">
        <v>23</v>
      </c>
      <c r="C21" s="19"/>
      <c r="D21" s="8">
        <v>0.5</v>
      </c>
    </row>
    <row r="22" spans="1:4" x14ac:dyDescent="0.2">
      <c r="A22" s="15"/>
      <c r="B22" s="18" t="s">
        <v>24</v>
      </c>
      <c r="C22" s="19"/>
      <c r="D22" s="8">
        <v>2</v>
      </c>
    </row>
    <row r="23" spans="1:4" x14ac:dyDescent="0.2">
      <c r="A23" s="15"/>
      <c r="B23" s="18" t="s">
        <v>25</v>
      </c>
      <c r="C23" s="19"/>
      <c r="D23" s="8">
        <v>1</v>
      </c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5</v>
      </c>
      <c r="C25" s="3" t="s">
        <v>6</v>
      </c>
      <c r="D25" s="9">
        <f>SUM(D20:D24)</f>
        <v>4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5</v>
      </c>
      <c r="C32" s="3" t="s">
        <v>6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5</v>
      </c>
      <c r="C39" s="3" t="s">
        <v>6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5</v>
      </c>
      <c r="C46" s="3" t="s">
        <v>6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5</v>
      </c>
      <c r="C53" s="3" t="s">
        <v>6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5</v>
      </c>
      <c r="C60" s="3" t="s">
        <v>6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5</v>
      </c>
      <c r="C67" s="3" t="s">
        <v>6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5</v>
      </c>
      <c r="C74" s="3" t="s">
        <v>6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5</v>
      </c>
      <c r="C81" s="3" t="s">
        <v>6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14</v>
      </c>
    </row>
    <row r="84" spans="1:4" x14ac:dyDescent="0.2">
      <c r="A84" s="13" t="s">
        <v>8</v>
      </c>
      <c r="B84" s="13"/>
      <c r="C84" s="13"/>
      <c r="D84" s="13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47" zoomScaleNormal="115" zoomScaleSheetLayoutView="115" workbookViewId="0">
      <pane ySplit="1" topLeftCell="A33" activePane="bottomLeft"/>
      <selection activeCell="A5" sqref="A5:XFD5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0</v>
      </c>
      <c r="B1" s="27"/>
      <c r="C1" s="27"/>
      <c r="D1" s="27"/>
    </row>
    <row r="2" spans="1:4" ht="18" x14ac:dyDescent="0.25">
      <c r="A2" s="34" t="s">
        <v>30</v>
      </c>
      <c r="B2" s="34"/>
      <c r="C2" s="35"/>
      <c r="D2" s="4">
        <v>3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3</v>
      </c>
    </row>
    <row r="5" spans="1:4" ht="13.5" thickBot="1" x14ac:dyDescent="0.25">
      <c r="A5" s="30"/>
      <c r="B5" s="30"/>
      <c r="C5" s="31"/>
      <c r="D5" s="6" t="s">
        <v>4</v>
      </c>
    </row>
    <row r="6" spans="1:4" ht="12.75" customHeight="1" x14ac:dyDescent="0.2">
      <c r="A6" s="36">
        <v>45992</v>
      </c>
      <c r="B6" s="32" t="s">
        <v>11</v>
      </c>
      <c r="C6" s="33"/>
      <c r="D6" s="7">
        <v>4</v>
      </c>
    </row>
    <row r="7" spans="1:4" x14ac:dyDescent="0.2">
      <c r="A7" s="15"/>
      <c r="B7" s="18" t="s">
        <v>12</v>
      </c>
      <c r="C7" s="19"/>
      <c r="D7" s="8">
        <v>4</v>
      </c>
    </row>
    <row r="8" spans="1:4" x14ac:dyDescent="0.2">
      <c r="A8" s="15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5</v>
      </c>
      <c r="C11" s="3" t="s">
        <v>6</v>
      </c>
      <c r="D11" s="9">
        <f>SUM(D6:D10)</f>
        <v>8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>
        <v>45993</v>
      </c>
      <c r="B13" s="16" t="s">
        <v>13</v>
      </c>
      <c r="C13" s="17"/>
      <c r="D13" s="7">
        <v>1</v>
      </c>
    </row>
    <row r="14" spans="1:4" x14ac:dyDescent="0.2">
      <c r="A14" s="15"/>
      <c r="B14" s="18" t="s">
        <v>31</v>
      </c>
      <c r="C14" s="19"/>
      <c r="D14" s="8">
        <v>1</v>
      </c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5</v>
      </c>
      <c r="C18" s="3" t="s">
        <v>6</v>
      </c>
      <c r="D18" s="9">
        <f>SUM(D13:D17)</f>
        <v>2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>
        <v>46000</v>
      </c>
      <c r="B20" s="16" t="s">
        <v>33</v>
      </c>
      <c r="C20" s="17"/>
      <c r="D20" s="7">
        <v>0.2</v>
      </c>
    </row>
    <row r="21" spans="1:4" x14ac:dyDescent="0.2">
      <c r="A21" s="15"/>
      <c r="B21" s="18" t="s">
        <v>32</v>
      </c>
      <c r="C21" s="19"/>
      <c r="D21" s="8">
        <v>1</v>
      </c>
    </row>
    <row r="22" spans="1:4" x14ac:dyDescent="0.2">
      <c r="A22" s="15"/>
      <c r="B22" s="18" t="s">
        <v>34</v>
      </c>
      <c r="C22" s="19"/>
      <c r="D22" s="8">
        <v>1</v>
      </c>
    </row>
    <row r="23" spans="1:4" x14ac:dyDescent="0.2">
      <c r="A23" s="15"/>
      <c r="B23" s="18" t="s">
        <v>35</v>
      </c>
      <c r="C23" s="19"/>
      <c r="D23" s="8">
        <v>1</v>
      </c>
    </row>
    <row r="24" spans="1:4" x14ac:dyDescent="0.2">
      <c r="A24" s="15"/>
      <c r="B24" s="18" t="s">
        <v>36</v>
      </c>
      <c r="C24" s="19"/>
      <c r="D24" s="8">
        <v>0.8</v>
      </c>
    </row>
    <row r="25" spans="1:4" x14ac:dyDescent="0.2">
      <c r="A25" s="15"/>
      <c r="B25" s="2" t="s">
        <v>5</v>
      </c>
      <c r="C25" s="3" t="s">
        <v>6</v>
      </c>
      <c r="D25" s="9">
        <f>SUM(D20:D24)</f>
        <v>4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5</v>
      </c>
      <c r="C32" s="3" t="s">
        <v>6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5</v>
      </c>
      <c r="C39" s="3" t="s">
        <v>6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5</v>
      </c>
      <c r="C46" s="3" t="s">
        <v>6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5</v>
      </c>
      <c r="C53" s="3" t="s">
        <v>6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5</v>
      </c>
      <c r="C60" s="3" t="s">
        <v>6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5</v>
      </c>
      <c r="C67" s="3" t="s">
        <v>6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5</v>
      </c>
      <c r="C74" s="3" t="s">
        <v>6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5</v>
      </c>
      <c r="C81" s="3" t="s">
        <v>6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14</v>
      </c>
    </row>
    <row r="84" spans="1:4" x14ac:dyDescent="0.2">
      <c r="A84" s="13" t="s">
        <v>8</v>
      </c>
      <c r="B84" s="13"/>
      <c r="C84" s="13"/>
      <c r="D84" s="13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5" operator="containsText" text="Terminé">
      <formula>NOT(ISERROR(SEARCH("Terminé",D6)))</formula>
    </cfRule>
    <cfRule type="containsText" dxfId="22" priority="6" operator="containsText" text="En cours">
      <formula>NOT(ISERROR(SEARCH("En cours",D6)))</formula>
    </cfRule>
  </conditionalFormatting>
  <conditionalFormatting sqref="D13:D18">
    <cfRule type="containsText" dxfId="21" priority="3" operator="containsText" text="Terminé">
      <formula>NOT(ISERROR(SEARCH("Terminé",D13)))</formula>
    </cfRule>
    <cfRule type="containsText" dxfId="20" priority="4" operator="containsText" text="En cours">
      <formula>NOT(ISERROR(SEARCH("En cours",D13)))</formula>
    </cfRule>
  </conditionalFormatting>
  <conditionalFormatting sqref="D20:D25">
    <cfRule type="containsText" dxfId="19" priority="1" operator="containsText" text="Terminé">
      <formula>NOT(ISERROR(SEARCH("Terminé",D20)))</formula>
    </cfRule>
    <cfRule type="containsText" dxfId="18" priority="2" operator="containsText" text="En cours">
      <formula>NOT(ISERROR(SEARCH("En cours",D20)))</formula>
    </cfRule>
  </conditionalFormatting>
  <conditionalFormatting sqref="D27:D32">
    <cfRule type="containsText" dxfId="17" priority="25" operator="containsText" text="Terminé">
      <formula>NOT(ISERROR(SEARCH("Terminé",D27)))</formula>
    </cfRule>
    <cfRule type="containsText" dxfId="16" priority="26" operator="containsText" text="En cours">
      <formula>NOT(ISERROR(SEARCH("En cours",D27)))</formula>
    </cfRule>
  </conditionalFormatting>
  <conditionalFormatting sqref="D34:D39">
    <cfRule type="containsText" dxfId="15" priority="23" operator="containsText" text="Terminé">
      <formula>NOT(ISERROR(SEARCH("Terminé",D34)))</formula>
    </cfRule>
    <cfRule type="containsText" dxfId="14" priority="24" operator="containsText" text="En cours">
      <formula>NOT(ISERROR(SEARCH("En cours",D34)))</formula>
    </cfRule>
  </conditionalFormatting>
  <conditionalFormatting sqref="D41:D46">
    <cfRule type="containsText" dxfId="13" priority="15" operator="containsText" text="Terminé">
      <formula>NOT(ISERROR(SEARCH("Terminé",D41)))</formula>
    </cfRule>
    <cfRule type="containsText" dxfId="12" priority="16" operator="containsText" text="En cours">
      <formula>NOT(ISERROR(SEARCH("En cours",D41)))</formula>
    </cfRule>
  </conditionalFormatting>
  <conditionalFormatting sqref="D48:D53">
    <cfRule type="containsText" dxfId="11" priority="13" operator="containsText" text="Terminé">
      <formula>NOT(ISERROR(SEARCH("Terminé",D48)))</formula>
    </cfRule>
    <cfRule type="containsText" dxfId="10" priority="14" operator="containsText" text="En cours">
      <formula>NOT(ISERROR(SEARCH("En cours",D48)))</formula>
    </cfRule>
  </conditionalFormatting>
  <conditionalFormatting sqref="D55:D60">
    <cfRule type="containsText" dxfId="9" priority="11" operator="containsText" text="Terminé">
      <formula>NOT(ISERROR(SEARCH("Terminé",D55)))</formula>
    </cfRule>
    <cfRule type="containsText" dxfId="8" priority="12" operator="containsText" text="En cours">
      <formula>NOT(ISERROR(SEARCH("En cours",D55)))</formula>
    </cfRule>
  </conditionalFormatting>
  <conditionalFormatting sqref="D62:D67">
    <cfRule type="containsText" dxfId="7" priority="21" operator="containsText" text="Terminé">
      <formula>NOT(ISERROR(SEARCH("Terminé",D62)))</formula>
    </cfRule>
    <cfRule type="containsText" dxfId="6" priority="22" operator="containsText" text="En cours">
      <formula>NOT(ISERROR(SEARCH("En cours",D62)))</formula>
    </cfRule>
  </conditionalFormatting>
  <conditionalFormatting sqref="D69:D74">
    <cfRule type="containsText" dxfId="5" priority="19" operator="containsText" text="Terminé">
      <formula>NOT(ISERROR(SEARCH("Terminé",D69)))</formula>
    </cfRule>
    <cfRule type="containsText" dxfId="4" priority="20" operator="containsText" text="En cours">
      <formula>NOT(ISERROR(SEARCH("En cours",D69)))</formula>
    </cfRule>
  </conditionalFormatting>
  <conditionalFormatting sqref="D76:D81">
    <cfRule type="containsText" dxfId="3" priority="17" operator="containsText" text="Terminé">
      <formula>NOT(ISERROR(SEARCH("Terminé",D76)))</formula>
    </cfRule>
    <cfRule type="containsText" dxfId="2" priority="18" operator="containsText" text="En cours">
      <formula>NOT(ISERROR(SEARCH("En cours",D76)))</formula>
    </cfRule>
  </conditionalFormatting>
  <conditionalFormatting sqref="D83">
    <cfRule type="containsText" dxfId="1" priority="7" operator="containsText" text="Terminé">
      <formula>NOT(ISERROR(SEARCH("Terminé",D83)))</formula>
    </cfRule>
    <cfRule type="containsText" dxfId="0" priority="8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3b60234b-33e6-42ae-ae88-ba7d4a3eedfd"/>
    <ds:schemaRef ds:uri="http://schemas.microsoft.com/office/infopath/2007/PartnerControls"/>
    <ds:schemaRef ds:uri="8afaa137-8a18-4908-97f4-35fc924e5a91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Bersier Noé</cp:lastModifiedBy>
  <cp:revision/>
  <dcterms:created xsi:type="dcterms:W3CDTF">2002-03-11T12:50:08Z</dcterms:created>
  <dcterms:modified xsi:type="dcterms:W3CDTF">2025-12-15T15:38:36Z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