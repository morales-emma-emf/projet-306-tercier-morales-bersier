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emma_morales_studentfr_ch/Documents/EMF/3ème année/bloc 3/module 306/projet-306-tercier-morales-bersier/documentation/"/>
    </mc:Choice>
  </mc:AlternateContent>
  <xr:revisionPtr revIDLastSave="0" documentId="8_{E5210B34-28DC-4E6C-B2E0-2882AAE563C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Journal_BERSIER_NOE" sheetId="8" r:id="rId1"/>
    <sheet name="Journal_MORALES_EMMA" sheetId="9" r:id="rId2"/>
    <sheet name="Journal_Tercier-_Elouan" sheetId="10" r:id="rId3"/>
  </sheets>
  <definedNames>
    <definedName name="_xlnm._FilterDatabase" localSheetId="0" hidden="1">Journal_BERSIER_NOE!$A$5:$HI$5</definedName>
    <definedName name="_xlnm._FilterDatabase" localSheetId="1" hidden="1">Journal_MORALES_EMMA!$A$5:$HI$5</definedName>
    <definedName name="_xlnm._FilterDatabase" localSheetId="2" hidden="1">'Journal_Tercier-_Elouan'!$A$5:$HI$5</definedName>
    <definedName name="_xlnm.Print_Area" localSheetId="0">Journal_BERSIER_NOE!$A$1:$D$83</definedName>
    <definedName name="_xlnm.Print_Area" localSheetId="1">Journal_MORALES_EMMA!$A$1:$D$83</definedName>
    <definedName name="_xlnm.Print_Area" localSheetId="2">'Journal_Tercier-_Elouan'!$A$1:$D$83</definedName>
    <definedName name="_xlnm.Print_Titles" localSheetId="0">Journal_BERSIER_NOE!$B:$D,Journal_BERSIER_NOE!$1:$5</definedName>
    <definedName name="_xlnm.Print_Titles" localSheetId="1">Journal_MORALES_EMMA!$B:$D,Journal_MORALES_EMMA!$1:$5</definedName>
    <definedName name="_xlnm.Print_Titles" localSheetId="2">'Journal_Tercier-_Elouan'!$B:$D,'Journal_Tercier-_Elouan'!$1:$5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8" l="1"/>
  <c r="D46" i="8"/>
  <c r="D46" i="10"/>
  <c r="D53" i="10"/>
  <c r="D39" i="10"/>
  <c r="D32" i="10"/>
  <c r="D25" i="10"/>
  <c r="D18" i="10"/>
  <c r="D11" i="10"/>
  <c r="D81" i="10"/>
  <c r="D74" i="10"/>
  <c r="D67" i="10"/>
  <c r="D60" i="10"/>
  <c r="D81" i="9"/>
  <c r="D74" i="9"/>
  <c r="D67" i="9"/>
  <c r="D60" i="9"/>
  <c r="D39" i="9"/>
  <c r="D32" i="9"/>
  <c r="D25" i="9"/>
  <c r="D18" i="9"/>
  <c r="D11" i="9"/>
  <c r="D25" i="8"/>
  <c r="D60" i="8"/>
  <c r="D81" i="8"/>
  <c r="D74" i="8"/>
  <c r="D67" i="8"/>
  <c r="D39" i="8"/>
  <c r="D32" i="8"/>
  <c r="D18" i="8"/>
  <c r="D11" i="8"/>
  <c r="D83" i="10" l="1"/>
  <c r="D83" i="9"/>
  <c r="D83" i="8"/>
</calcChain>
</file>

<file path=xl/sharedStrings.xml><?xml version="1.0" encoding="utf-8"?>
<sst xmlns="http://schemas.openxmlformats.org/spreadsheetml/2006/main" count="179" uniqueCount="94">
  <si>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</si>
  <si>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[no candidat]</t>
  </si>
  <si>
    <t>Date</t>
  </si>
  <si>
    <t>Travail effectué</t>
  </si>
  <si>
    <t>Temps</t>
  </si>
  <si>
    <t>[H.h]</t>
  </si>
  <si>
    <r>
      <t xml:space="preserve">Réflexion personnelle </t>
    </r>
    <r>
      <rPr>
        <sz val="8"/>
        <rFont val="Calibri"/>
        <family val="2"/>
      </rPr>
      <t>↓↓↓</t>
    </r>
  </si>
  <si>
    <t>Total &gt;</t>
  </si>
  <si>
    <t>Total général &gt;</t>
  </si>
  <si>
    <t>Insérer les lignes au-dessus de celle-ci !</t>
  </si>
  <si>
    <r>
      <t>Projet :</t>
    </r>
    <r>
      <rPr>
        <b/>
        <sz val="14"/>
        <rFont val="Arial"/>
        <family val="2"/>
      </rPr>
      <t xml:space="preserve"> Gestion d'accès</t>
    </r>
    <r>
      <rPr>
        <sz val="14"/>
        <rFont val="Arial"/>
        <family val="2"/>
      </rPr>
      <t xml:space="preserve">    </t>
    </r>
    <r>
      <rPr>
        <sz val="16"/>
        <rFont val="Arial"/>
        <family val="2"/>
      </rPr>
      <t xml:space="preserve">                      </t>
    </r>
  </si>
  <si>
    <t>Morales Emma</t>
  </si>
  <si>
    <t>Découverte du module + théorie</t>
  </si>
  <si>
    <t>Analyse de projet + Business Case</t>
  </si>
  <si>
    <t>Finalisation Business Case</t>
  </si>
  <si>
    <t xml:space="preserve">Faire le planning </t>
  </si>
  <si>
    <r>
      <t>Projet :</t>
    </r>
    <r>
      <rPr>
        <b/>
        <sz val="14"/>
        <rFont val="Arial"/>
        <family val="2"/>
      </rPr>
      <t xml:space="preserve"> Gestion d'accès multifacteur</t>
    </r>
    <r>
      <rPr>
        <sz val="16"/>
        <rFont val="Arial"/>
        <family val="2"/>
      </rPr>
      <t xml:space="preserve">                   </t>
    </r>
  </si>
  <si>
    <t>Bersier, Noé</t>
  </si>
  <si>
    <t xml:space="preserve">Activité de groupe </t>
  </si>
  <si>
    <t>Cahier des charges</t>
  </si>
  <si>
    <t>Brainstorming</t>
  </si>
  <si>
    <t>Documentation</t>
  </si>
  <si>
    <t xml:space="preserve">Reunion avec le client </t>
  </si>
  <si>
    <t>Scrum Master</t>
  </si>
  <si>
    <t xml:space="preserve">Planning + Journal </t>
  </si>
  <si>
    <t>Mise en place de la DB</t>
  </si>
  <si>
    <t>Commencement du backend</t>
  </si>
  <si>
    <t>On a choisit le projet sur la gestion multifacteur</t>
  </si>
  <si>
    <t>Mise en place des phidgets</t>
  </si>
  <si>
    <t>J'ai pris du temps a comprendre au debut mais apres une fois que j'ai compris ça allait.-</t>
  </si>
  <si>
    <t>Modification du Kanban</t>
  </si>
  <si>
    <t>Elouan Tercier</t>
  </si>
  <si>
    <t>faire le use case</t>
  </si>
  <si>
    <t>correction uml</t>
  </si>
  <si>
    <t>daily scrum</t>
  </si>
  <si>
    <t>correction kanban</t>
  </si>
  <si>
    <t>discution backend frontend</t>
  </si>
  <si>
    <t xml:space="preserve">structure du repos </t>
  </si>
  <si>
    <t>Configurer Lecteur RFID + Ecran LCD</t>
  </si>
  <si>
    <t>Diagramme de sequence</t>
  </si>
  <si>
    <t>Mise à jour du KanBan</t>
  </si>
  <si>
    <t>bakend et route api</t>
  </si>
  <si>
    <t xml:space="preserve">discution prof </t>
  </si>
  <si>
    <t>correction db et création db + connection au backend</t>
  </si>
  <si>
    <t>J'ai trouvé que aujourd'hui que j'ai été efficace. Ça c'est super bien passé.</t>
  </si>
  <si>
    <t>j'ai bien avancé backend et db</t>
  </si>
  <si>
    <t xml:space="preserve">Correction du planning </t>
  </si>
  <si>
    <t>Créer des users stories</t>
  </si>
  <si>
    <t xml:space="preserve">Mise en place du frontend </t>
  </si>
  <si>
    <t>Je trouve que une fois qu'on a vraiment bien corrigé le planning, on arrive mieux à avancer. Je trouve que j'ai bien travaillé même si j'ai eu quelques difficuletés pour faire le planning.</t>
  </si>
  <si>
    <t>réunion</t>
  </si>
  <si>
    <t>backend  route admin</t>
  </si>
  <si>
    <t>frontend discu</t>
  </si>
  <si>
    <t>Commencement du frontend</t>
  </si>
  <si>
    <t>Discussion avec le client</t>
  </si>
  <si>
    <t>Je trouve que j'ai bien travaillé, et on s'entend bien avec mon équipe</t>
  </si>
  <si>
    <t>Faire les autorisations aux portes</t>
  </si>
  <si>
    <t>Faire le pointage</t>
  </si>
  <si>
    <t>J'ai eu quelques difficulté à mettre en place le pointage mais j'ai réussi à résoudre le problème très vite.</t>
  </si>
  <si>
    <t>discution, reunion, planing, dailyscrum</t>
  </si>
  <si>
    <t xml:space="preserve">developpement du dashboard admin avec gestion des acces porte membre role </t>
  </si>
  <si>
    <t>deploiment api sur vercel</t>
  </si>
  <si>
    <t>configuration raspéry pi avec noe</t>
  </si>
  <si>
    <t>création d'un script d'installation automatique des pi de pointage et de porte</t>
  </si>
  <si>
    <t>bon fonctionnement des script content de moi</t>
  </si>
  <si>
    <t>Daily Scrum,  Sprint Planning, Spint Retrospective</t>
  </si>
  <si>
    <t>Diagramme d'acivité</t>
  </si>
  <si>
    <t>Raspberry Pi</t>
  </si>
  <si>
    <t>Raspberry pi</t>
  </si>
  <si>
    <t>J'ai été très efficace lors de ma documentation</t>
  </si>
  <si>
    <t>quelques petits problèmes au nivaeau de la configuration du raspberry mais le reste est super bien passé</t>
  </si>
  <si>
    <t>05.01.26</t>
  </si>
  <si>
    <t>Discussion avec le groupe / debug en groupe</t>
  </si>
  <si>
    <t>Finir de faire l'interface de l'authentification + l'authentification</t>
  </si>
  <si>
    <t xml:space="preserve">Faire l'interface pour journal de présence + fonctionnement du journal de présence </t>
  </si>
  <si>
    <t xml:space="preserve">Avancement de la documentation </t>
  </si>
  <si>
    <t>Réflexion personnelle ↓↓↓</t>
  </si>
  <si>
    <t>Je trouve que j'ai bien travaillé, je fais les tâches dans les bons temps</t>
  </si>
  <si>
    <t>06.01.26</t>
  </si>
  <si>
    <t xml:space="preserve">Finir le fonctionnement du journal de présence </t>
  </si>
  <si>
    <t xml:space="preserve">Commencer l'interface utilisateur </t>
  </si>
  <si>
    <t xml:space="preserve">Je trouve que j'ai bien avancé, j'ai même pu commencer une tâche de la V3. </t>
  </si>
  <si>
    <t>12.01.26</t>
  </si>
  <si>
    <t>configuration raspéry pi avec les script + test avec interface</t>
  </si>
  <si>
    <t>débugage</t>
  </si>
  <si>
    <t>création de la démo</t>
  </si>
  <si>
    <t>tout c'est bien passé</t>
  </si>
  <si>
    <t xml:space="preserve">Je fini l'interface utilisateur avec le tableau de présence + salaire </t>
  </si>
  <si>
    <t>Finir l'interface admin avec le tableau de présence, correction de bug</t>
  </si>
  <si>
    <t>Réalisation de la documentation + début de la présentation</t>
  </si>
  <si>
    <t xml:space="preserve">Je trouve que j'ai bien avancé, j'ai fini tout ce que je voulais à temps. </t>
  </si>
  <si>
    <t>WebSummary</t>
  </si>
  <si>
    <t>Présentation</t>
  </si>
  <si>
    <t>J'ai eu pas mal à faire avec la documentation aujourd'hui mais j'ai beaucoup avancé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</si>
</sst>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center"/>
      <protection locked="0"/>
    </xf>
  </cellXfs>
  <cellStyles count="1">
    <cellStyle name="Standard" xfId="0" builtinId="0"/>
  </cellStyles>
  <dxfs count="7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opLeftCell="A25" zoomScale="115" zoomScaleNormal="115" zoomScaleSheetLayoutView="115" workbookViewId="0">
      <pane ySplit="1" topLeftCell="A33" activePane="bottomLeft"/>
      <selection activeCell="D5" sqref="A5:XFD5"/>
      <selection pane="bottomLeft" activeCell="B47" sqref="B47:D47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31" t="s">
        <v>16</v>
      </c>
      <c r="B1" s="31"/>
      <c r="C1" s="31"/>
      <c r="D1" s="31"/>
    </row>
    <row r="2" spans="1:4" ht="17.5" x14ac:dyDescent="0.35">
      <c r="A2" s="38" t="s">
        <v>17</v>
      </c>
      <c r="B2" s="38"/>
      <c r="C2" s="39"/>
      <c r="D2" s="4">
        <v>48</v>
      </c>
    </row>
    <row r="4" spans="1:4" ht="12" customHeight="1" x14ac:dyDescent="0.3">
      <c r="A4" s="32" t="s">
        <v>2</v>
      </c>
      <c r="B4" s="32" t="s">
        <v>3</v>
      </c>
      <c r="C4" s="33"/>
      <c r="D4" s="5" t="s">
        <v>4</v>
      </c>
    </row>
    <row r="5" spans="1:4" ht="13" thickBot="1" x14ac:dyDescent="0.3">
      <c r="A5" s="34"/>
      <c r="B5" s="34"/>
      <c r="C5" s="35"/>
      <c r="D5" s="6" t="s">
        <v>5</v>
      </c>
    </row>
    <row r="6" spans="1:4" ht="12.75" customHeight="1" x14ac:dyDescent="0.25">
      <c r="A6" s="30">
        <v>45992</v>
      </c>
      <c r="B6" s="36" t="s">
        <v>18</v>
      </c>
      <c r="C6" s="37"/>
      <c r="D6" s="7">
        <v>2</v>
      </c>
    </row>
    <row r="7" spans="1:4" x14ac:dyDescent="0.25">
      <c r="A7" s="21"/>
      <c r="B7" s="25" t="s">
        <v>19</v>
      </c>
      <c r="C7" s="26"/>
      <c r="D7" s="8">
        <v>2</v>
      </c>
    </row>
    <row r="8" spans="1:4" x14ac:dyDescent="0.25">
      <c r="A8" s="21"/>
      <c r="B8" s="25" t="s">
        <v>20</v>
      </c>
      <c r="C8" s="26"/>
      <c r="D8" s="8">
        <v>2</v>
      </c>
    </row>
    <row r="9" spans="1:4" x14ac:dyDescent="0.25">
      <c r="A9" s="21"/>
      <c r="B9" s="25" t="s">
        <v>21</v>
      </c>
      <c r="C9" s="26"/>
      <c r="D9" s="8">
        <v>2</v>
      </c>
    </row>
    <row r="10" spans="1:4" x14ac:dyDescent="0.25">
      <c r="A10" s="21"/>
      <c r="B10" s="25"/>
      <c r="C10" s="26"/>
      <c r="D10" s="8"/>
    </row>
    <row r="11" spans="1:4" x14ac:dyDescent="0.25">
      <c r="A11" s="21"/>
      <c r="B11" s="2" t="s">
        <v>6</v>
      </c>
      <c r="C11" s="3" t="s">
        <v>7</v>
      </c>
      <c r="D11" s="9">
        <f>SUM(D6:D10)</f>
        <v>8</v>
      </c>
    </row>
    <row r="12" spans="1:4" ht="25" customHeight="1" x14ac:dyDescent="0.25">
      <c r="A12" s="21"/>
      <c r="B12" s="27" t="s">
        <v>27</v>
      </c>
      <c r="C12" s="28"/>
      <c r="D12" s="29"/>
    </row>
    <row r="13" spans="1:4" ht="12.75" customHeight="1" x14ac:dyDescent="0.25">
      <c r="A13" s="20">
        <v>45993</v>
      </c>
      <c r="B13" s="23" t="s">
        <v>21</v>
      </c>
      <c r="C13" s="24"/>
      <c r="D13" s="7">
        <v>2</v>
      </c>
    </row>
    <row r="14" spans="1:4" x14ac:dyDescent="0.25">
      <c r="A14" s="21"/>
      <c r="B14" s="25" t="s">
        <v>22</v>
      </c>
      <c r="C14" s="26"/>
      <c r="D14" s="8">
        <v>2</v>
      </c>
    </row>
    <row r="15" spans="1:4" x14ac:dyDescent="0.25">
      <c r="A15" s="21"/>
      <c r="B15" s="25"/>
      <c r="C15" s="26"/>
      <c r="D15" s="8"/>
    </row>
    <row r="16" spans="1:4" x14ac:dyDescent="0.25">
      <c r="A16" s="21"/>
      <c r="B16" s="25"/>
      <c r="C16" s="26"/>
      <c r="D16" s="8"/>
    </row>
    <row r="17" spans="1:4" x14ac:dyDescent="0.25">
      <c r="A17" s="21"/>
      <c r="B17" s="25"/>
      <c r="C17" s="26"/>
      <c r="D17" s="8"/>
    </row>
    <row r="18" spans="1:4" x14ac:dyDescent="0.25">
      <c r="A18" s="21"/>
      <c r="B18" s="2" t="s">
        <v>6</v>
      </c>
      <c r="C18" s="3" t="s">
        <v>7</v>
      </c>
      <c r="D18" s="9">
        <f>SUM(D13:D17)</f>
        <v>4</v>
      </c>
    </row>
    <row r="19" spans="1:4" ht="25" customHeight="1" x14ac:dyDescent="0.25">
      <c r="A19" s="21"/>
      <c r="B19" s="27"/>
      <c r="C19" s="28"/>
      <c r="D19" s="29"/>
    </row>
    <row r="20" spans="1:4" ht="12.75" customHeight="1" x14ac:dyDescent="0.25">
      <c r="A20" s="20">
        <v>46000</v>
      </c>
      <c r="B20" s="23" t="s">
        <v>28</v>
      </c>
      <c r="C20" s="24"/>
      <c r="D20" s="7">
        <v>3</v>
      </c>
    </row>
    <row r="21" spans="1:4" x14ac:dyDescent="0.25">
      <c r="A21" s="21"/>
      <c r="B21" s="25" t="s">
        <v>30</v>
      </c>
      <c r="C21" s="26"/>
      <c r="D21" s="8">
        <v>1</v>
      </c>
    </row>
    <row r="22" spans="1:4" x14ac:dyDescent="0.25">
      <c r="A22" s="21"/>
      <c r="B22" s="25"/>
      <c r="C22" s="26"/>
      <c r="D22" s="8"/>
    </row>
    <row r="23" spans="1:4" x14ac:dyDescent="0.25">
      <c r="A23" s="21"/>
      <c r="B23" s="25"/>
      <c r="C23" s="26"/>
      <c r="D23" s="8"/>
    </row>
    <row r="24" spans="1:4" x14ac:dyDescent="0.25">
      <c r="A24" s="21"/>
      <c r="B24" s="25"/>
      <c r="C24" s="26"/>
      <c r="D24" s="8"/>
    </row>
    <row r="25" spans="1:4" x14ac:dyDescent="0.25">
      <c r="A25" s="21"/>
      <c r="B25" s="2" t="s">
        <v>6</v>
      </c>
      <c r="C25" s="3" t="s">
        <v>7</v>
      </c>
      <c r="D25" s="9">
        <f>SUM(D20:D24)</f>
        <v>4</v>
      </c>
    </row>
    <row r="26" spans="1:4" ht="25" customHeight="1" x14ac:dyDescent="0.25">
      <c r="A26" s="21"/>
      <c r="B26" s="27" t="s">
        <v>29</v>
      </c>
      <c r="C26" s="28"/>
      <c r="D26" s="29"/>
    </row>
    <row r="27" spans="1:4" ht="12.75" customHeight="1" x14ac:dyDescent="0.25">
      <c r="A27" s="20">
        <v>46006</v>
      </c>
      <c r="B27" s="13" t="s">
        <v>38</v>
      </c>
      <c r="C27" s="14"/>
      <c r="D27" s="7">
        <v>4</v>
      </c>
    </row>
    <row r="28" spans="1:4" x14ac:dyDescent="0.25">
      <c r="A28" s="21"/>
      <c r="B28" s="15" t="s">
        <v>39</v>
      </c>
      <c r="C28" s="16"/>
      <c r="D28" s="8">
        <v>2</v>
      </c>
    </row>
    <row r="29" spans="1:4" x14ac:dyDescent="0.25">
      <c r="A29" s="21"/>
      <c r="B29" s="15" t="s">
        <v>40</v>
      </c>
      <c r="C29" s="16"/>
      <c r="D29" s="8">
        <v>2</v>
      </c>
    </row>
    <row r="30" spans="1:4" x14ac:dyDescent="0.25">
      <c r="A30" s="21"/>
      <c r="B30" s="15"/>
      <c r="C30" s="16"/>
      <c r="D30" s="8"/>
    </row>
    <row r="31" spans="1:4" x14ac:dyDescent="0.25">
      <c r="A31" s="21"/>
      <c r="B31" s="15"/>
      <c r="C31" s="16"/>
      <c r="D31" s="8"/>
    </row>
    <row r="32" spans="1:4" x14ac:dyDescent="0.25">
      <c r="A32" s="21"/>
      <c r="B32" s="2" t="s">
        <v>6</v>
      </c>
      <c r="C32" s="3" t="s">
        <v>7</v>
      </c>
      <c r="D32" s="9">
        <f>SUM(D27:D31)</f>
        <v>8</v>
      </c>
    </row>
    <row r="33" spans="1:4" ht="25" customHeight="1" x14ac:dyDescent="0.25">
      <c r="A33" s="22"/>
      <c r="B33" s="17" t="s">
        <v>44</v>
      </c>
      <c r="C33" s="18"/>
      <c r="D33" s="19"/>
    </row>
    <row r="34" spans="1:4" ht="12.75" customHeight="1" x14ac:dyDescent="0.25">
      <c r="A34" s="20">
        <v>46007</v>
      </c>
      <c r="B34" s="23" t="s">
        <v>56</v>
      </c>
      <c r="C34" s="24"/>
      <c r="D34" s="7">
        <v>2</v>
      </c>
    </row>
    <row r="35" spans="1:4" x14ac:dyDescent="0.25">
      <c r="A35" s="21"/>
      <c r="B35" s="25" t="s">
        <v>57</v>
      </c>
      <c r="C35" s="26"/>
      <c r="D35" s="8">
        <v>2</v>
      </c>
    </row>
    <row r="36" spans="1:4" x14ac:dyDescent="0.25">
      <c r="A36" s="21"/>
      <c r="B36" s="25"/>
      <c r="C36" s="26"/>
      <c r="D36" s="8"/>
    </row>
    <row r="37" spans="1:4" x14ac:dyDescent="0.25">
      <c r="A37" s="21"/>
      <c r="B37" s="25"/>
      <c r="C37" s="26"/>
      <c r="D37" s="8"/>
    </row>
    <row r="38" spans="1:4" x14ac:dyDescent="0.25">
      <c r="A38" s="21"/>
      <c r="B38" s="25"/>
      <c r="C38" s="26"/>
      <c r="D38" s="8"/>
    </row>
    <row r="39" spans="1:4" x14ac:dyDescent="0.25">
      <c r="A39" s="21"/>
      <c r="B39" s="2" t="s">
        <v>6</v>
      </c>
      <c r="C39" s="3" t="s">
        <v>7</v>
      </c>
      <c r="D39" s="9">
        <f>SUM(D34:D38)</f>
        <v>4</v>
      </c>
    </row>
    <row r="40" spans="1:4" ht="25" customHeight="1" x14ac:dyDescent="0.25">
      <c r="A40" s="22"/>
      <c r="B40" s="17" t="s">
        <v>58</v>
      </c>
      <c r="C40" s="18"/>
      <c r="D40" s="19"/>
    </row>
    <row r="41" spans="1:4" ht="12.75" customHeight="1" x14ac:dyDescent="0.25">
      <c r="A41" s="20">
        <v>46027</v>
      </c>
      <c r="B41" s="23" t="s">
        <v>65</v>
      </c>
      <c r="C41" s="24"/>
      <c r="D41" s="7">
        <v>1</v>
      </c>
    </row>
    <row r="42" spans="1:4" x14ac:dyDescent="0.25">
      <c r="A42" s="21"/>
      <c r="B42" s="25" t="s">
        <v>66</v>
      </c>
      <c r="C42" s="26"/>
      <c r="D42" s="8">
        <v>3</v>
      </c>
    </row>
    <row r="43" spans="1:4" x14ac:dyDescent="0.25">
      <c r="A43" s="21"/>
      <c r="B43" s="25" t="s">
        <v>67</v>
      </c>
      <c r="C43" s="26"/>
      <c r="D43" s="8">
        <v>4</v>
      </c>
    </row>
    <row r="44" spans="1:4" x14ac:dyDescent="0.25">
      <c r="A44" s="21"/>
      <c r="B44" s="25"/>
      <c r="C44" s="26"/>
      <c r="D44" s="8"/>
    </row>
    <row r="45" spans="1:4" x14ac:dyDescent="0.25">
      <c r="A45" s="21"/>
      <c r="B45" s="25"/>
      <c r="C45" s="26"/>
      <c r="D45" s="8"/>
    </row>
    <row r="46" spans="1:4" x14ac:dyDescent="0.25">
      <c r="A46" s="21"/>
      <c r="B46" s="2" t="s">
        <v>6</v>
      </c>
      <c r="C46" s="3" t="s">
        <v>7</v>
      </c>
      <c r="D46" s="9">
        <f>SUM(D41:D45)</f>
        <v>8</v>
      </c>
    </row>
    <row r="47" spans="1:4" ht="25" customHeight="1" x14ac:dyDescent="0.25">
      <c r="A47" s="22"/>
      <c r="B47" s="17" t="s">
        <v>70</v>
      </c>
      <c r="C47" s="18"/>
      <c r="D47" s="19"/>
    </row>
    <row r="48" spans="1:4" ht="12.75" customHeight="1" x14ac:dyDescent="0.25">
      <c r="A48" s="20">
        <v>46028</v>
      </c>
      <c r="B48" s="23" t="s">
        <v>68</v>
      </c>
      <c r="C48" s="24"/>
      <c r="D48" s="7">
        <v>1</v>
      </c>
    </row>
    <row r="49" spans="1:4" x14ac:dyDescent="0.25">
      <c r="A49" s="21"/>
      <c r="B49" s="25" t="s">
        <v>21</v>
      </c>
      <c r="C49" s="26"/>
      <c r="D49" s="8">
        <v>3</v>
      </c>
    </row>
    <row r="50" spans="1:4" x14ac:dyDescent="0.25">
      <c r="A50" s="21"/>
      <c r="B50" s="25"/>
      <c r="C50" s="26"/>
      <c r="D50" s="8"/>
    </row>
    <row r="51" spans="1:4" x14ac:dyDescent="0.25">
      <c r="A51" s="21"/>
      <c r="B51" s="25"/>
      <c r="C51" s="26"/>
      <c r="D51" s="8"/>
    </row>
    <row r="52" spans="1:4" x14ac:dyDescent="0.25">
      <c r="A52" s="21"/>
      <c r="B52" s="25"/>
      <c r="C52" s="26"/>
      <c r="D52" s="8"/>
    </row>
    <row r="53" spans="1:4" x14ac:dyDescent="0.25">
      <c r="A53" s="21"/>
      <c r="B53" s="2" t="s">
        <v>6</v>
      </c>
      <c r="C53" s="3" t="s">
        <v>7</v>
      </c>
      <c r="D53" s="9">
        <f>SUM(D48:D52)</f>
        <v>4</v>
      </c>
    </row>
    <row r="54" spans="1:4" ht="25" customHeight="1" x14ac:dyDescent="0.25">
      <c r="A54" s="22"/>
      <c r="B54" s="17" t="s">
        <v>69</v>
      </c>
      <c r="C54" s="18"/>
      <c r="D54" s="19"/>
    </row>
    <row r="55" spans="1:4" ht="12.75" customHeight="1" x14ac:dyDescent="0.25">
      <c r="A55" s="20">
        <v>46034</v>
      </c>
      <c r="B55" s="23" t="s">
        <v>91</v>
      </c>
      <c r="C55" s="24"/>
      <c r="D55" s="7">
        <v>2</v>
      </c>
    </row>
    <row r="56" spans="1:4" x14ac:dyDescent="0.25">
      <c r="A56" s="21"/>
      <c r="B56" s="25" t="s">
        <v>21</v>
      </c>
      <c r="C56" s="26"/>
      <c r="D56" s="8">
        <v>4</v>
      </c>
    </row>
    <row r="57" spans="1:4" x14ac:dyDescent="0.25">
      <c r="A57" s="21"/>
      <c r="B57" s="25" t="s">
        <v>92</v>
      </c>
      <c r="C57" s="26"/>
      <c r="D57" s="8">
        <v>2</v>
      </c>
    </row>
    <row r="58" spans="1:4" x14ac:dyDescent="0.25">
      <c r="A58" s="21"/>
      <c r="B58" s="25"/>
      <c r="C58" s="26"/>
      <c r="D58" s="8"/>
    </row>
    <row r="59" spans="1:4" x14ac:dyDescent="0.25">
      <c r="A59" s="21"/>
      <c r="B59" s="25"/>
      <c r="C59" s="26"/>
      <c r="D59" s="8"/>
    </row>
    <row r="60" spans="1:4" x14ac:dyDescent="0.25">
      <c r="A60" s="21"/>
      <c r="B60" s="2" t="s">
        <v>6</v>
      </c>
      <c r="C60" s="3" t="s">
        <v>7</v>
      </c>
      <c r="D60" s="9">
        <f>SUM(D55:D59)</f>
        <v>8</v>
      </c>
    </row>
    <row r="61" spans="1:4" ht="25" customHeight="1" x14ac:dyDescent="0.25">
      <c r="A61" s="22"/>
      <c r="B61" s="17" t="s">
        <v>93</v>
      </c>
      <c r="C61" s="18"/>
      <c r="D61" s="19"/>
    </row>
    <row r="62" spans="1:4" ht="12.75" customHeight="1" x14ac:dyDescent="0.25">
      <c r="A62" s="20">
        <v>46035</v>
      </c>
      <c r="B62" s="23"/>
      <c r="C62" s="24"/>
      <c r="D62" s="7"/>
    </row>
    <row r="63" spans="1:4" x14ac:dyDescent="0.25">
      <c r="A63" s="21"/>
      <c r="B63" s="25"/>
      <c r="C63" s="26"/>
      <c r="D63" s="8"/>
    </row>
    <row r="64" spans="1:4" x14ac:dyDescent="0.25">
      <c r="A64" s="21"/>
      <c r="B64" s="25"/>
      <c r="C64" s="26"/>
      <c r="D64" s="8"/>
    </row>
    <row r="65" spans="1:4" x14ac:dyDescent="0.25">
      <c r="A65" s="21"/>
      <c r="B65" s="25"/>
      <c r="C65" s="26"/>
      <c r="D65" s="8"/>
    </row>
    <row r="66" spans="1:4" x14ac:dyDescent="0.25">
      <c r="A66" s="21"/>
      <c r="B66" s="25"/>
      <c r="C66" s="26"/>
      <c r="D66" s="8"/>
    </row>
    <row r="67" spans="1:4" x14ac:dyDescent="0.25">
      <c r="A67" s="21"/>
      <c r="B67" s="2" t="s">
        <v>6</v>
      </c>
      <c r="C67" s="3" t="s">
        <v>7</v>
      </c>
      <c r="D67" s="9">
        <f>SUM(D62:D66)</f>
        <v>0</v>
      </c>
    </row>
    <row r="68" spans="1:4" ht="25" customHeight="1" x14ac:dyDescent="0.25">
      <c r="A68" s="21"/>
      <c r="B68" s="27"/>
      <c r="C68" s="28"/>
      <c r="D68" s="29"/>
    </row>
    <row r="69" spans="1:4" ht="12.75" customHeight="1" x14ac:dyDescent="0.25">
      <c r="A69" s="20"/>
      <c r="B69" s="23"/>
      <c r="C69" s="24"/>
      <c r="D69" s="7"/>
    </row>
    <row r="70" spans="1:4" x14ac:dyDescent="0.25">
      <c r="A70" s="21"/>
      <c r="B70" s="25"/>
      <c r="C70" s="26"/>
      <c r="D70" s="8"/>
    </row>
    <row r="71" spans="1:4" x14ac:dyDescent="0.25">
      <c r="A71" s="21"/>
      <c r="B71" s="25"/>
      <c r="C71" s="26"/>
      <c r="D71" s="8"/>
    </row>
    <row r="72" spans="1:4" x14ac:dyDescent="0.25">
      <c r="A72" s="21"/>
      <c r="B72" s="25"/>
      <c r="C72" s="26"/>
      <c r="D72" s="8"/>
    </row>
    <row r="73" spans="1:4" x14ac:dyDescent="0.25">
      <c r="A73" s="21"/>
      <c r="B73" s="25"/>
      <c r="C73" s="26"/>
      <c r="D73" s="8"/>
    </row>
    <row r="74" spans="1:4" x14ac:dyDescent="0.25">
      <c r="A74" s="21"/>
      <c r="B74" s="2" t="s">
        <v>6</v>
      </c>
      <c r="C74" s="3" t="s">
        <v>7</v>
      </c>
      <c r="D74" s="9">
        <f>SUM(D69:D73)</f>
        <v>0</v>
      </c>
    </row>
    <row r="75" spans="1:4" ht="25" customHeight="1" x14ac:dyDescent="0.25">
      <c r="A75" s="22"/>
      <c r="B75" s="17"/>
      <c r="C75" s="18"/>
      <c r="D75" s="19"/>
    </row>
    <row r="76" spans="1:4" ht="12.75" customHeight="1" x14ac:dyDescent="0.25">
      <c r="A76" s="20"/>
      <c r="B76" s="23"/>
      <c r="C76" s="24"/>
      <c r="D76" s="7"/>
    </row>
    <row r="77" spans="1:4" x14ac:dyDescent="0.25">
      <c r="A77" s="21"/>
      <c r="B77" s="25"/>
      <c r="C77" s="26"/>
      <c r="D77" s="8"/>
    </row>
    <row r="78" spans="1:4" x14ac:dyDescent="0.25">
      <c r="A78" s="21"/>
      <c r="B78" s="25"/>
      <c r="C78" s="26"/>
      <c r="D78" s="8"/>
    </row>
    <row r="79" spans="1:4" x14ac:dyDescent="0.25">
      <c r="A79" s="21"/>
      <c r="B79" s="25"/>
      <c r="C79" s="26"/>
      <c r="D79" s="8"/>
    </row>
    <row r="80" spans="1:4" x14ac:dyDescent="0.25">
      <c r="A80" s="21"/>
      <c r="B80" s="25"/>
      <c r="C80" s="26"/>
      <c r="D80" s="8"/>
    </row>
    <row r="81" spans="1:4" x14ac:dyDescent="0.25">
      <c r="A81" s="21"/>
      <c r="B81" s="2" t="s">
        <v>6</v>
      </c>
      <c r="C81" s="3" t="s">
        <v>7</v>
      </c>
      <c r="D81" s="9">
        <f>SUM(D76:D80)</f>
        <v>0</v>
      </c>
    </row>
    <row r="82" spans="1:4" ht="25" customHeight="1" x14ac:dyDescent="0.25">
      <c r="A82" s="22"/>
      <c r="B82" s="17"/>
      <c r="C82" s="18"/>
      <c r="D82" s="19"/>
    </row>
    <row r="83" spans="1:4" ht="12" customHeight="1" x14ac:dyDescent="0.25">
      <c r="A83" s="11"/>
      <c r="B83" s="10"/>
      <c r="C83" s="3" t="s">
        <v>8</v>
      </c>
      <c r="D83" s="12">
        <f>D11+D18+D25+D32+D39+'Journal_Tercier-_Elouan'!D46+'Journal_Tercier-_Elouan'!D53+D60+D67+D74+D81</f>
        <v>48</v>
      </c>
    </row>
    <row r="84" spans="1:4" x14ac:dyDescent="0.25">
      <c r="A84" s="40" t="s">
        <v>9</v>
      </c>
      <c r="B84" s="40"/>
      <c r="C84" s="40"/>
      <c r="D84" s="40"/>
    </row>
  </sheetData>
  <mergeCells count="77"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33:D33"/>
    <mergeCell ref="A34:A40"/>
    <mergeCell ref="B34:C34"/>
    <mergeCell ref="B35:C35"/>
    <mergeCell ref="B36:C36"/>
    <mergeCell ref="B37:C37"/>
    <mergeCell ref="B38:C38"/>
    <mergeCell ref="A1:D1"/>
    <mergeCell ref="B4:C5"/>
    <mergeCell ref="B6:C6"/>
    <mergeCell ref="A2:C2"/>
    <mergeCell ref="A4:A5"/>
    <mergeCell ref="B7:C7"/>
    <mergeCell ref="B9:C9"/>
    <mergeCell ref="B10:C10"/>
    <mergeCell ref="A6:A12"/>
    <mergeCell ref="B8:C8"/>
    <mergeCell ref="B12:D12"/>
    <mergeCell ref="B40:D40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1:A47"/>
    <mergeCell ref="A69:A75"/>
    <mergeCell ref="B69:C69"/>
    <mergeCell ref="B70:C70"/>
    <mergeCell ref="B71:C71"/>
    <mergeCell ref="B72:C72"/>
    <mergeCell ref="B73:C73"/>
    <mergeCell ref="B75:D75"/>
    <mergeCell ref="A76:A82"/>
    <mergeCell ref="B76:C76"/>
    <mergeCell ref="B77:C77"/>
    <mergeCell ref="B78:C78"/>
    <mergeCell ref="B79:C79"/>
    <mergeCell ref="B80:C80"/>
    <mergeCell ref="B82:D82"/>
    <mergeCell ref="A20:A26"/>
    <mergeCell ref="B20:C20"/>
    <mergeCell ref="B21:C21"/>
    <mergeCell ref="B22:C22"/>
    <mergeCell ref="B23:C23"/>
    <mergeCell ref="B24:C24"/>
    <mergeCell ref="B26:D26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</mergeCells>
  <conditionalFormatting sqref="D6:D11">
    <cfRule type="containsText" dxfId="71" priority="27" operator="containsText" text="Terminé">
      <formula>NOT(ISERROR(SEARCH("Terminé",D6)))</formula>
    </cfRule>
    <cfRule type="containsText" dxfId="70" priority="28" operator="containsText" text="En cours">
      <formula>NOT(ISERROR(SEARCH("En cours",D6)))</formula>
    </cfRule>
  </conditionalFormatting>
  <conditionalFormatting sqref="D13:D18">
    <cfRule type="containsText" dxfId="69" priority="25" operator="containsText" text="Terminé">
      <formula>NOT(ISERROR(SEARCH("Terminé",D13)))</formula>
    </cfRule>
    <cfRule type="containsText" dxfId="68" priority="26" operator="containsText" text="En cours">
      <formula>NOT(ISERROR(SEARCH("En cours",D13)))</formula>
    </cfRule>
  </conditionalFormatting>
  <conditionalFormatting sqref="D20:D25">
    <cfRule type="containsText" dxfId="67" priority="7" operator="containsText" text="Terminé">
      <formula>NOT(ISERROR(SEARCH("Terminé",D20)))</formula>
    </cfRule>
    <cfRule type="containsText" dxfId="66" priority="8" operator="containsText" text="En cours">
      <formula>NOT(ISERROR(SEARCH("En cours",D20)))</formula>
    </cfRule>
  </conditionalFormatting>
  <conditionalFormatting sqref="D27:D32">
    <cfRule type="containsText" dxfId="65" priority="23" operator="containsText" text="Terminé">
      <formula>NOT(ISERROR(SEARCH("Terminé",D27)))</formula>
    </cfRule>
    <cfRule type="containsText" dxfId="64" priority="24" operator="containsText" text="En cours">
      <formula>NOT(ISERROR(SEARCH("En cours",D27)))</formula>
    </cfRule>
  </conditionalFormatting>
  <conditionalFormatting sqref="D34:D39">
    <cfRule type="containsText" dxfId="63" priority="21" operator="containsText" text="Terminé">
      <formula>NOT(ISERROR(SEARCH("Terminé",D34)))</formula>
    </cfRule>
    <cfRule type="containsText" dxfId="62" priority="22" operator="containsText" text="En cours">
      <formula>NOT(ISERROR(SEARCH("En cours",D34)))</formula>
    </cfRule>
  </conditionalFormatting>
  <conditionalFormatting sqref="D41:D46">
    <cfRule type="containsText" dxfId="61" priority="3" operator="containsText" text="Terminé">
      <formula>NOT(ISERROR(SEARCH("Terminé",D41)))</formula>
    </cfRule>
    <cfRule type="containsText" dxfId="60" priority="4" operator="containsText" text="En cours">
      <formula>NOT(ISERROR(SEARCH("En cours",D41)))</formula>
    </cfRule>
  </conditionalFormatting>
  <conditionalFormatting sqref="D48:D53">
    <cfRule type="containsText" dxfId="59" priority="1" operator="containsText" text="Terminé">
      <formula>NOT(ISERROR(SEARCH("Terminé",D48)))</formula>
    </cfRule>
    <cfRule type="containsText" dxfId="58" priority="2" operator="containsText" text="En cours">
      <formula>NOT(ISERROR(SEARCH("En cours",D48)))</formula>
    </cfRule>
  </conditionalFormatting>
  <conditionalFormatting sqref="D55:D60">
    <cfRule type="containsText" dxfId="57" priority="9" operator="containsText" text="Terminé">
      <formula>NOT(ISERROR(SEARCH("Terminé",D55)))</formula>
    </cfRule>
    <cfRule type="containsText" dxfId="56" priority="10" operator="containsText" text="En cours">
      <formula>NOT(ISERROR(SEARCH("En cours",D55)))</formula>
    </cfRule>
  </conditionalFormatting>
  <conditionalFormatting sqref="D62:D67">
    <cfRule type="containsText" dxfId="55" priority="19" operator="containsText" text="Terminé">
      <formula>NOT(ISERROR(SEARCH("Terminé",D62)))</formula>
    </cfRule>
    <cfRule type="containsText" dxfId="54" priority="20" operator="containsText" text="En cours">
      <formula>NOT(ISERROR(SEARCH("En cours",D62)))</formula>
    </cfRule>
  </conditionalFormatting>
  <conditionalFormatting sqref="D69:D74">
    <cfRule type="containsText" dxfId="53" priority="17" operator="containsText" text="Terminé">
      <formula>NOT(ISERROR(SEARCH("Terminé",D69)))</formula>
    </cfRule>
    <cfRule type="containsText" dxfId="52" priority="18" operator="containsText" text="En cours">
      <formula>NOT(ISERROR(SEARCH("En cours",D69)))</formula>
    </cfRule>
  </conditionalFormatting>
  <conditionalFormatting sqref="D76:D81">
    <cfRule type="containsText" dxfId="51" priority="15" operator="containsText" text="Terminé">
      <formula>NOT(ISERROR(SEARCH("Terminé",D76)))</formula>
    </cfRule>
    <cfRule type="containsText" dxfId="50" priority="16" operator="containsText" text="En cours">
      <formula>NOT(ISERROR(SEARCH("En cours",D76)))</formula>
    </cfRule>
  </conditionalFormatting>
  <conditionalFormatting sqref="D83">
    <cfRule type="containsText" dxfId="49" priority="5" operator="containsText" text="Terminé">
      <formula>NOT(ISERROR(SEARCH("Terminé",D83)))</formula>
    </cfRule>
    <cfRule type="containsText" dxfId="48" priority="6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topLeftCell="A35" zoomScale="115" zoomScaleNormal="115" zoomScaleSheetLayoutView="115" workbookViewId="0">
      <pane ySplit="1" topLeftCell="A38" activePane="bottomLeft"/>
      <selection activeCell="A5" sqref="A5:XFD5"/>
      <selection pane="bottomLeft" activeCell="A41" sqref="A41:A47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31" t="s">
        <v>10</v>
      </c>
      <c r="B1" s="31"/>
      <c r="C1" s="31"/>
      <c r="D1" s="31"/>
    </row>
    <row r="2" spans="1:4" ht="17.5" x14ac:dyDescent="0.35">
      <c r="A2" s="38" t="s">
        <v>11</v>
      </c>
      <c r="B2" s="38"/>
      <c r="C2" s="39"/>
      <c r="D2" s="4" t="s">
        <v>1</v>
      </c>
    </row>
    <row r="4" spans="1:4" ht="12" customHeight="1" x14ac:dyDescent="0.3">
      <c r="A4" s="32" t="s">
        <v>2</v>
      </c>
      <c r="B4" s="32" t="s">
        <v>3</v>
      </c>
      <c r="C4" s="33"/>
      <c r="D4" s="5" t="s">
        <v>4</v>
      </c>
    </row>
    <row r="5" spans="1:4" ht="13" thickBot="1" x14ac:dyDescent="0.3">
      <c r="A5" s="34"/>
      <c r="B5" s="34"/>
      <c r="C5" s="35"/>
      <c r="D5" s="6" t="s">
        <v>5</v>
      </c>
    </row>
    <row r="6" spans="1:4" ht="12.75" customHeight="1" x14ac:dyDescent="0.25">
      <c r="A6" s="30">
        <v>45992</v>
      </c>
      <c r="B6" s="36" t="s">
        <v>12</v>
      </c>
      <c r="C6" s="37"/>
      <c r="D6" s="7">
        <v>4</v>
      </c>
    </row>
    <row r="7" spans="1:4" x14ac:dyDescent="0.25">
      <c r="A7" s="21"/>
      <c r="B7" s="25" t="s">
        <v>13</v>
      </c>
      <c r="C7" s="26"/>
      <c r="D7" s="8">
        <v>4</v>
      </c>
    </row>
    <row r="8" spans="1:4" x14ac:dyDescent="0.25">
      <c r="A8" s="21"/>
      <c r="D8" s="8"/>
    </row>
    <row r="9" spans="1:4" x14ac:dyDescent="0.25">
      <c r="A9" s="21"/>
      <c r="B9" s="25"/>
      <c r="C9" s="26"/>
      <c r="D9" s="8"/>
    </row>
    <row r="10" spans="1:4" x14ac:dyDescent="0.25">
      <c r="A10" s="21"/>
      <c r="B10" s="25"/>
      <c r="C10" s="26"/>
      <c r="D10" s="8"/>
    </row>
    <row r="11" spans="1:4" x14ac:dyDescent="0.25">
      <c r="A11" s="21"/>
      <c r="B11" s="2" t="s">
        <v>6</v>
      </c>
      <c r="C11" s="3" t="s">
        <v>7</v>
      </c>
      <c r="D11" s="9">
        <f>SUM(D6:D10)</f>
        <v>8</v>
      </c>
    </row>
    <row r="12" spans="1:4" ht="25" customHeight="1" x14ac:dyDescent="0.25">
      <c r="A12" s="21"/>
      <c r="B12" s="27"/>
      <c r="C12" s="28"/>
      <c r="D12" s="29"/>
    </row>
    <row r="13" spans="1:4" ht="12.75" customHeight="1" x14ac:dyDescent="0.25">
      <c r="A13" s="20">
        <v>45993</v>
      </c>
      <c r="B13" s="23" t="s">
        <v>14</v>
      </c>
      <c r="C13" s="24"/>
      <c r="D13" s="7">
        <v>1</v>
      </c>
    </row>
    <row r="14" spans="1:4" x14ac:dyDescent="0.25">
      <c r="A14" s="21"/>
      <c r="B14" s="25" t="s">
        <v>15</v>
      </c>
      <c r="C14" s="26"/>
      <c r="D14" s="8">
        <v>1</v>
      </c>
    </row>
    <row r="15" spans="1:4" x14ac:dyDescent="0.25">
      <c r="A15" s="21"/>
      <c r="B15" s="25"/>
      <c r="C15" s="26"/>
      <c r="D15" s="8"/>
    </row>
    <row r="16" spans="1:4" x14ac:dyDescent="0.25">
      <c r="A16" s="21"/>
      <c r="B16" s="25"/>
      <c r="C16" s="26"/>
      <c r="D16" s="8"/>
    </row>
    <row r="17" spans="1:4" x14ac:dyDescent="0.25">
      <c r="A17" s="21"/>
      <c r="B17" s="25"/>
      <c r="C17" s="26"/>
      <c r="D17" s="8"/>
    </row>
    <row r="18" spans="1:4" x14ac:dyDescent="0.25">
      <c r="A18" s="21"/>
      <c r="B18" s="2" t="s">
        <v>6</v>
      </c>
      <c r="C18" s="3" t="s">
        <v>7</v>
      </c>
      <c r="D18" s="9">
        <f>SUM(D13:D17)</f>
        <v>2</v>
      </c>
    </row>
    <row r="19" spans="1:4" ht="25" customHeight="1" x14ac:dyDescent="0.25">
      <c r="A19" s="21"/>
      <c r="B19" s="27"/>
      <c r="C19" s="28"/>
      <c r="D19" s="29"/>
    </row>
    <row r="20" spans="1:4" ht="12.75" customHeight="1" x14ac:dyDescent="0.25">
      <c r="A20" s="20">
        <v>46000</v>
      </c>
      <c r="B20" s="23" t="s">
        <v>23</v>
      </c>
      <c r="C20" s="24"/>
      <c r="D20" s="7">
        <v>0.5</v>
      </c>
    </row>
    <row r="21" spans="1:4" x14ac:dyDescent="0.25">
      <c r="A21" s="21"/>
      <c r="B21" s="25" t="s">
        <v>24</v>
      </c>
      <c r="C21" s="26"/>
      <c r="D21" s="8">
        <v>0.5</v>
      </c>
    </row>
    <row r="22" spans="1:4" x14ac:dyDescent="0.25">
      <c r="A22" s="21"/>
      <c r="B22" s="25" t="s">
        <v>25</v>
      </c>
      <c r="C22" s="26"/>
      <c r="D22" s="8">
        <v>2</v>
      </c>
    </row>
    <row r="23" spans="1:4" x14ac:dyDescent="0.25">
      <c r="A23" s="21"/>
      <c r="B23" s="25" t="s">
        <v>26</v>
      </c>
      <c r="C23" s="26"/>
      <c r="D23" s="8">
        <v>1</v>
      </c>
    </row>
    <row r="24" spans="1:4" x14ac:dyDescent="0.25">
      <c r="A24" s="21"/>
      <c r="B24" s="25"/>
      <c r="C24" s="26"/>
      <c r="D24" s="8"/>
    </row>
    <row r="25" spans="1:4" x14ac:dyDescent="0.25">
      <c r="A25" s="21"/>
      <c r="B25" s="2" t="s">
        <v>6</v>
      </c>
      <c r="C25" s="3" t="s">
        <v>7</v>
      </c>
      <c r="D25" s="9">
        <f>SUM(D20:D24)</f>
        <v>4</v>
      </c>
    </row>
    <row r="26" spans="1:4" ht="25" customHeight="1" x14ac:dyDescent="0.25">
      <c r="A26" s="21"/>
      <c r="B26" s="27"/>
      <c r="C26" s="28"/>
      <c r="D26" s="29"/>
    </row>
    <row r="27" spans="1:4" ht="12.75" customHeight="1" x14ac:dyDescent="0.25">
      <c r="A27" s="20">
        <v>46006</v>
      </c>
      <c r="B27" s="23" t="s">
        <v>46</v>
      </c>
      <c r="C27" s="24"/>
      <c r="D27" s="7">
        <v>3</v>
      </c>
    </row>
    <row r="28" spans="1:4" x14ac:dyDescent="0.25">
      <c r="A28" s="21"/>
      <c r="B28" s="25" t="s">
        <v>47</v>
      </c>
      <c r="C28" s="26"/>
      <c r="D28" s="8">
        <v>1</v>
      </c>
    </row>
    <row r="29" spans="1:4" x14ac:dyDescent="0.25">
      <c r="A29" s="21"/>
      <c r="B29" s="25" t="s">
        <v>48</v>
      </c>
      <c r="C29" s="26"/>
      <c r="D29" s="8">
        <v>4</v>
      </c>
    </row>
    <row r="30" spans="1:4" x14ac:dyDescent="0.25">
      <c r="A30" s="21"/>
      <c r="B30" s="25"/>
      <c r="C30" s="26"/>
      <c r="D30" s="8"/>
    </row>
    <row r="31" spans="1:4" x14ac:dyDescent="0.25">
      <c r="A31" s="21"/>
      <c r="B31" s="25"/>
      <c r="C31" s="26"/>
      <c r="D31" s="8"/>
    </row>
    <row r="32" spans="1:4" x14ac:dyDescent="0.25">
      <c r="A32" s="21"/>
      <c r="B32" s="2" t="s">
        <v>6</v>
      </c>
      <c r="C32" s="3" t="s">
        <v>7</v>
      </c>
      <c r="D32" s="9">
        <f>SUM(D27:D31)</f>
        <v>8</v>
      </c>
    </row>
    <row r="33" spans="1:4" ht="25" customHeight="1" x14ac:dyDescent="0.25">
      <c r="A33" s="22"/>
      <c r="B33" s="17" t="s">
        <v>49</v>
      </c>
      <c r="C33" s="18"/>
      <c r="D33" s="19"/>
    </row>
    <row r="34" spans="1:4" ht="12.75" customHeight="1" x14ac:dyDescent="0.25">
      <c r="A34" s="20">
        <v>46007</v>
      </c>
      <c r="B34" s="23" t="s">
        <v>53</v>
      </c>
      <c r="C34" s="24"/>
      <c r="D34" s="7">
        <v>3</v>
      </c>
    </row>
    <row r="35" spans="1:4" x14ac:dyDescent="0.25">
      <c r="A35" s="21"/>
      <c r="B35" s="25" t="s">
        <v>54</v>
      </c>
      <c r="C35" s="26"/>
      <c r="D35" s="8">
        <v>1</v>
      </c>
    </row>
    <row r="36" spans="1:4" x14ac:dyDescent="0.25">
      <c r="A36" s="21"/>
      <c r="B36" s="25"/>
      <c r="C36" s="26"/>
      <c r="D36" s="8"/>
    </row>
    <row r="37" spans="1:4" x14ac:dyDescent="0.25">
      <c r="A37" s="21"/>
      <c r="B37" s="25"/>
      <c r="C37" s="26"/>
      <c r="D37" s="8"/>
    </row>
    <row r="38" spans="1:4" x14ac:dyDescent="0.25">
      <c r="A38" s="21"/>
      <c r="B38" s="25"/>
      <c r="C38" s="26"/>
      <c r="D38" s="8"/>
    </row>
    <row r="39" spans="1:4" x14ac:dyDescent="0.25">
      <c r="A39" s="21"/>
      <c r="B39" s="2" t="s">
        <v>6</v>
      </c>
      <c r="C39" s="3" t="s">
        <v>7</v>
      </c>
      <c r="D39" s="9">
        <f>SUM(D34:D38)</f>
        <v>4</v>
      </c>
    </row>
    <row r="40" spans="1:4" ht="25" customHeight="1" x14ac:dyDescent="0.25">
      <c r="A40" s="22"/>
      <c r="B40" s="17" t="s">
        <v>55</v>
      </c>
      <c r="C40" s="18"/>
      <c r="D40" s="19"/>
    </row>
    <row r="41" spans="1:4" ht="12.75" customHeight="1" x14ac:dyDescent="0.25">
      <c r="A41" s="20" t="s">
        <v>71</v>
      </c>
      <c r="B41" s="23" t="s">
        <v>72</v>
      </c>
      <c r="C41" s="24"/>
      <c r="D41" s="7">
        <v>1</v>
      </c>
    </row>
    <row r="42" spans="1:4" x14ac:dyDescent="0.25">
      <c r="A42" s="21"/>
      <c r="B42" s="25" t="s">
        <v>73</v>
      </c>
      <c r="C42" s="26"/>
      <c r="D42" s="8">
        <v>2</v>
      </c>
    </row>
    <row r="43" spans="1:4" x14ac:dyDescent="0.25">
      <c r="A43" s="21"/>
      <c r="B43" s="25" t="s">
        <v>74</v>
      </c>
      <c r="C43" s="26"/>
      <c r="D43" s="8">
        <v>3</v>
      </c>
    </row>
    <row r="44" spans="1:4" x14ac:dyDescent="0.25">
      <c r="A44" s="21"/>
      <c r="B44" s="25" t="s">
        <v>75</v>
      </c>
      <c r="C44" s="26"/>
      <c r="D44" s="8">
        <v>2</v>
      </c>
    </row>
    <row r="45" spans="1:4" x14ac:dyDescent="0.25">
      <c r="A45" s="21"/>
      <c r="B45" s="25"/>
      <c r="C45" s="26"/>
      <c r="D45" s="8"/>
    </row>
    <row r="46" spans="1:4" x14ac:dyDescent="0.25">
      <c r="A46" s="21"/>
      <c r="B46" s="2" t="s">
        <v>76</v>
      </c>
      <c r="C46" s="3" t="s">
        <v>7</v>
      </c>
      <c r="D46" s="9">
        <v>8</v>
      </c>
    </row>
    <row r="47" spans="1:4" ht="25" customHeight="1" x14ac:dyDescent="0.25">
      <c r="A47" s="22"/>
      <c r="B47" s="17" t="s">
        <v>77</v>
      </c>
      <c r="C47" s="18"/>
      <c r="D47" s="19"/>
    </row>
    <row r="48" spans="1:4" ht="12.75" customHeight="1" x14ac:dyDescent="0.25">
      <c r="A48" s="20" t="s">
        <v>78</v>
      </c>
      <c r="B48" s="23" t="s">
        <v>79</v>
      </c>
      <c r="C48" s="24"/>
      <c r="D48" s="7">
        <v>3</v>
      </c>
    </row>
    <row r="49" spans="1:4" x14ac:dyDescent="0.25">
      <c r="A49" s="21"/>
      <c r="B49" s="25" t="s">
        <v>80</v>
      </c>
      <c r="C49" s="26"/>
      <c r="D49" s="8">
        <v>1</v>
      </c>
    </row>
    <row r="50" spans="1:4" x14ac:dyDescent="0.25">
      <c r="A50" s="21"/>
      <c r="B50" s="25"/>
      <c r="C50" s="26"/>
      <c r="D50" s="8"/>
    </row>
    <row r="51" spans="1:4" x14ac:dyDescent="0.25">
      <c r="A51" s="21"/>
      <c r="B51" s="25"/>
      <c r="C51" s="26"/>
      <c r="D51" s="8"/>
    </row>
    <row r="52" spans="1:4" x14ac:dyDescent="0.25">
      <c r="A52" s="21"/>
      <c r="B52" s="25"/>
      <c r="C52" s="26"/>
      <c r="D52" s="8"/>
    </row>
    <row r="53" spans="1:4" x14ac:dyDescent="0.25">
      <c r="A53" s="21"/>
      <c r="B53" s="2" t="s">
        <v>76</v>
      </c>
      <c r="C53" s="3" t="s">
        <v>7</v>
      </c>
      <c r="D53" s="9">
        <v>4</v>
      </c>
    </row>
    <row r="54" spans="1:4" ht="25" customHeight="1" x14ac:dyDescent="0.25">
      <c r="A54" s="22"/>
      <c r="B54" s="17" t="s">
        <v>81</v>
      </c>
      <c r="C54" s="18"/>
      <c r="D54" s="19"/>
    </row>
    <row r="55" spans="1:4" ht="12.75" customHeight="1" x14ac:dyDescent="0.25">
      <c r="A55" s="20" t="s">
        <v>82</v>
      </c>
      <c r="B55" s="23" t="s">
        <v>87</v>
      </c>
      <c r="C55" s="24"/>
      <c r="D55" s="7">
        <v>4</v>
      </c>
    </row>
    <row r="56" spans="1:4" x14ac:dyDescent="0.25">
      <c r="A56" s="21"/>
      <c r="B56" s="25" t="s">
        <v>88</v>
      </c>
      <c r="C56" s="26"/>
      <c r="D56" s="8">
        <v>2</v>
      </c>
    </row>
    <row r="57" spans="1:4" x14ac:dyDescent="0.25">
      <c r="A57" s="21"/>
      <c r="B57" s="25" t="s">
        <v>89</v>
      </c>
      <c r="C57" s="26"/>
      <c r="D57" s="8">
        <v>2</v>
      </c>
    </row>
    <row r="58" spans="1:4" x14ac:dyDescent="0.25">
      <c r="A58" s="21"/>
      <c r="B58" s="25"/>
      <c r="C58" s="26"/>
      <c r="D58" s="8"/>
    </row>
    <row r="59" spans="1:4" x14ac:dyDescent="0.25">
      <c r="A59" s="21"/>
      <c r="B59" s="25"/>
      <c r="C59" s="26"/>
      <c r="D59" s="8"/>
    </row>
    <row r="60" spans="1:4" x14ac:dyDescent="0.25">
      <c r="A60" s="21"/>
      <c r="B60" s="2" t="s">
        <v>6</v>
      </c>
      <c r="C60" s="3" t="s">
        <v>7</v>
      </c>
      <c r="D60" s="9">
        <f>SUM(D55:D59)</f>
        <v>8</v>
      </c>
    </row>
    <row r="61" spans="1:4" ht="25" customHeight="1" x14ac:dyDescent="0.25">
      <c r="A61" s="22"/>
      <c r="B61" s="17" t="s">
        <v>90</v>
      </c>
      <c r="C61" s="18"/>
      <c r="D61" s="19"/>
    </row>
    <row r="62" spans="1:4" ht="12.75" customHeight="1" x14ac:dyDescent="0.25">
      <c r="A62" s="20"/>
      <c r="B62" s="23"/>
      <c r="C62" s="24"/>
      <c r="D62" s="7"/>
    </row>
    <row r="63" spans="1:4" x14ac:dyDescent="0.25">
      <c r="A63" s="21"/>
      <c r="B63" s="25"/>
      <c r="C63" s="26"/>
      <c r="D63" s="8"/>
    </row>
    <row r="64" spans="1:4" x14ac:dyDescent="0.25">
      <c r="A64" s="21"/>
      <c r="B64" s="25"/>
      <c r="C64" s="26"/>
      <c r="D64" s="8"/>
    </row>
    <row r="65" spans="1:4" x14ac:dyDescent="0.25">
      <c r="A65" s="21"/>
      <c r="B65" s="25"/>
      <c r="C65" s="26"/>
      <c r="D65" s="8"/>
    </row>
    <row r="66" spans="1:4" x14ac:dyDescent="0.25">
      <c r="A66" s="21"/>
      <c r="B66" s="25"/>
      <c r="C66" s="26"/>
      <c r="D66" s="8"/>
    </row>
    <row r="67" spans="1:4" x14ac:dyDescent="0.25">
      <c r="A67" s="21"/>
      <c r="B67" s="2" t="s">
        <v>6</v>
      </c>
      <c r="C67" s="3" t="s">
        <v>7</v>
      </c>
      <c r="D67" s="9">
        <f>SUM(D62:D66)</f>
        <v>0</v>
      </c>
    </row>
    <row r="68" spans="1:4" ht="25" customHeight="1" x14ac:dyDescent="0.25">
      <c r="A68" s="21"/>
      <c r="B68" s="27"/>
      <c r="C68" s="28"/>
      <c r="D68" s="29"/>
    </row>
    <row r="69" spans="1:4" ht="12.75" customHeight="1" x14ac:dyDescent="0.25">
      <c r="A69" s="20"/>
      <c r="B69" s="23"/>
      <c r="C69" s="24"/>
      <c r="D69" s="7"/>
    </row>
    <row r="70" spans="1:4" x14ac:dyDescent="0.25">
      <c r="A70" s="21"/>
      <c r="B70" s="25"/>
      <c r="C70" s="26"/>
      <c r="D70" s="8"/>
    </row>
    <row r="71" spans="1:4" x14ac:dyDescent="0.25">
      <c r="A71" s="21"/>
      <c r="B71" s="25"/>
      <c r="C71" s="26"/>
      <c r="D71" s="8"/>
    </row>
    <row r="72" spans="1:4" x14ac:dyDescent="0.25">
      <c r="A72" s="21"/>
      <c r="B72" s="25"/>
      <c r="C72" s="26"/>
      <c r="D72" s="8"/>
    </row>
    <row r="73" spans="1:4" x14ac:dyDescent="0.25">
      <c r="A73" s="21"/>
      <c r="B73" s="25"/>
      <c r="C73" s="26"/>
      <c r="D73" s="8"/>
    </row>
    <row r="74" spans="1:4" x14ac:dyDescent="0.25">
      <c r="A74" s="21"/>
      <c r="B74" s="2" t="s">
        <v>6</v>
      </c>
      <c r="C74" s="3" t="s">
        <v>7</v>
      </c>
      <c r="D74" s="9">
        <f>SUM(D69:D73)</f>
        <v>0</v>
      </c>
    </row>
    <row r="75" spans="1:4" ht="25" customHeight="1" x14ac:dyDescent="0.25">
      <c r="A75" s="22"/>
      <c r="B75" s="17"/>
      <c r="C75" s="18"/>
      <c r="D75" s="19"/>
    </row>
    <row r="76" spans="1:4" ht="12.75" customHeight="1" x14ac:dyDescent="0.25">
      <c r="A76" s="20"/>
      <c r="B76" s="23"/>
      <c r="C76" s="24"/>
      <c r="D76" s="7"/>
    </row>
    <row r="77" spans="1:4" x14ac:dyDescent="0.25">
      <c r="A77" s="21"/>
      <c r="B77" s="25"/>
      <c r="C77" s="26"/>
      <c r="D77" s="8"/>
    </row>
    <row r="78" spans="1:4" x14ac:dyDescent="0.25">
      <c r="A78" s="21"/>
      <c r="B78" s="25"/>
      <c r="C78" s="26"/>
      <c r="D78" s="8"/>
    </row>
    <row r="79" spans="1:4" x14ac:dyDescent="0.25">
      <c r="A79" s="21"/>
      <c r="B79" s="25"/>
      <c r="C79" s="26"/>
      <c r="D79" s="8"/>
    </row>
    <row r="80" spans="1:4" x14ac:dyDescent="0.25">
      <c r="A80" s="21"/>
      <c r="B80" s="25"/>
      <c r="C80" s="26"/>
      <c r="D80" s="8"/>
    </row>
    <row r="81" spans="1:4" x14ac:dyDescent="0.25">
      <c r="A81" s="21"/>
      <c r="B81" s="2" t="s">
        <v>6</v>
      </c>
      <c r="C81" s="3" t="s">
        <v>7</v>
      </c>
      <c r="D81" s="9">
        <f>SUM(D76:D80)</f>
        <v>0</v>
      </c>
    </row>
    <row r="82" spans="1:4" ht="25" customHeight="1" x14ac:dyDescent="0.25">
      <c r="A82" s="22"/>
      <c r="B82" s="17"/>
      <c r="C82" s="18"/>
      <c r="D82" s="19"/>
    </row>
    <row r="83" spans="1:4" ht="12" customHeight="1" x14ac:dyDescent="0.25">
      <c r="A83" s="11"/>
      <c r="B83" s="10"/>
      <c r="C83" s="3" t="s">
        <v>8</v>
      </c>
      <c r="D83" s="12">
        <f>D11+D18+D25+D32+D39+D46+D53+D60+D67+D74+D81</f>
        <v>46</v>
      </c>
    </row>
    <row r="84" spans="1:4" x14ac:dyDescent="0.25">
      <c r="A84" s="40" t="s">
        <v>9</v>
      </c>
      <c r="B84" s="40"/>
      <c r="C84" s="40"/>
      <c r="D84" s="40"/>
    </row>
  </sheetData>
  <mergeCells count="81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9:C9"/>
    <mergeCell ref="B10:C10"/>
    <mergeCell ref="B12:D12"/>
  </mergeCells>
  <conditionalFormatting sqref="D6:D11">
    <cfRule type="containsText" dxfId="47" priority="23" operator="containsText" text="Terminé">
      <formula>NOT(ISERROR(SEARCH("Terminé",D6)))</formula>
    </cfRule>
    <cfRule type="containsText" dxfId="46" priority="24" operator="containsText" text="En cours">
      <formula>NOT(ISERROR(SEARCH("En cours",D6)))</formula>
    </cfRule>
  </conditionalFormatting>
  <conditionalFormatting sqref="D13:D18">
    <cfRule type="containsText" dxfId="45" priority="21" operator="containsText" text="Terminé">
      <formula>NOT(ISERROR(SEARCH("Terminé",D13)))</formula>
    </cfRule>
    <cfRule type="containsText" dxfId="44" priority="22" operator="containsText" text="En cours">
      <formula>NOT(ISERROR(SEARCH("En cours",D13)))</formula>
    </cfRule>
  </conditionalFormatting>
  <conditionalFormatting sqref="D20:D25">
    <cfRule type="containsText" dxfId="43" priority="3" operator="containsText" text="Terminé">
      <formula>NOT(ISERROR(SEARCH("Terminé",D20)))</formula>
    </cfRule>
    <cfRule type="containsText" dxfId="42" priority="4" operator="containsText" text="En cours">
      <formula>NOT(ISERROR(SEARCH("En cours",D20)))</formula>
    </cfRule>
  </conditionalFormatting>
  <conditionalFormatting sqref="D27:D32">
    <cfRule type="containsText" dxfId="41" priority="19" operator="containsText" text="Terminé">
      <formula>NOT(ISERROR(SEARCH("Terminé",D27)))</formula>
    </cfRule>
    <cfRule type="containsText" dxfId="40" priority="20" operator="containsText" text="En cours">
      <formula>NOT(ISERROR(SEARCH("En cours",D27)))</formula>
    </cfRule>
  </conditionalFormatting>
  <conditionalFormatting sqref="D34:D39">
    <cfRule type="containsText" dxfId="39" priority="17" operator="containsText" text="Terminé">
      <formula>NOT(ISERROR(SEARCH("Terminé",D34)))</formula>
    </cfRule>
    <cfRule type="containsText" dxfId="38" priority="18" operator="containsText" text="En cours">
      <formula>NOT(ISERROR(SEARCH("En cours",D34)))</formula>
    </cfRule>
  </conditionalFormatting>
  <conditionalFormatting sqref="D41:D46">
    <cfRule type="containsText" dxfId="37" priority="9" operator="containsText" text="Terminé">
      <formula>NOT(ISERROR(SEARCH("Terminé",D41)))</formula>
    </cfRule>
    <cfRule type="containsText" dxfId="36" priority="10" operator="containsText" text="En cours">
      <formula>NOT(ISERROR(SEARCH("En cours",D41)))</formula>
    </cfRule>
  </conditionalFormatting>
  <conditionalFormatting sqref="D48:D53">
    <cfRule type="containsText" dxfId="35" priority="7" operator="containsText" text="Terminé">
      <formula>NOT(ISERROR(SEARCH("Terminé",D48)))</formula>
    </cfRule>
    <cfRule type="containsText" dxfId="34" priority="8" operator="containsText" text="En cours">
      <formula>NOT(ISERROR(SEARCH("En cours",D48)))</formula>
    </cfRule>
  </conditionalFormatting>
  <conditionalFormatting sqref="D55:D60">
    <cfRule type="containsText" dxfId="33" priority="5" operator="containsText" text="Terminé">
      <formula>NOT(ISERROR(SEARCH("Terminé",D55)))</formula>
    </cfRule>
    <cfRule type="containsText" dxfId="32" priority="6" operator="containsText" text="En cours">
      <formula>NOT(ISERROR(SEARCH("En cours",D55)))</formula>
    </cfRule>
  </conditionalFormatting>
  <conditionalFormatting sqref="D62:D67">
    <cfRule type="containsText" dxfId="31" priority="15" operator="containsText" text="Terminé">
      <formula>NOT(ISERROR(SEARCH("Terminé",D62)))</formula>
    </cfRule>
    <cfRule type="containsText" dxfId="30" priority="16" operator="containsText" text="En cours">
      <formula>NOT(ISERROR(SEARCH("En cours",D62)))</formula>
    </cfRule>
  </conditionalFormatting>
  <conditionalFormatting sqref="D69:D74">
    <cfRule type="containsText" dxfId="29" priority="13" operator="containsText" text="Terminé">
      <formula>NOT(ISERROR(SEARCH("Terminé",D69)))</formula>
    </cfRule>
    <cfRule type="containsText" dxfId="28" priority="14" operator="containsText" text="En cours">
      <formula>NOT(ISERROR(SEARCH("En cours",D69)))</formula>
    </cfRule>
  </conditionalFormatting>
  <conditionalFormatting sqref="D76:D81">
    <cfRule type="containsText" dxfId="27" priority="11" operator="containsText" text="Terminé">
      <formula>NOT(ISERROR(SEARCH("Terminé",D76)))</formula>
    </cfRule>
    <cfRule type="containsText" dxfId="26" priority="12" operator="containsText" text="En cours">
      <formula>NOT(ISERROR(SEARCH("En cours",D76)))</formula>
    </cfRule>
  </conditionalFormatting>
  <conditionalFormatting sqref="D83">
    <cfRule type="containsText" dxfId="25" priority="1" operator="containsText" text="Terminé">
      <formula>NOT(ISERROR(SEARCH("Terminé",D83)))</formula>
    </cfRule>
    <cfRule type="containsText" dxfId="24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F0F3-3EF4-4217-9640-9C9A8BC6D0F3}">
  <dimension ref="A1:D84"/>
  <sheetViews>
    <sheetView zoomScale="108" zoomScaleNormal="115" zoomScaleSheetLayoutView="115" workbookViewId="0">
      <pane ySplit="1" topLeftCell="A26" activePane="bottomLeft"/>
      <selection activeCell="A5" sqref="A5:XFD5"/>
      <selection pane="bottomLeft" activeCell="C60" sqref="C60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31" t="s">
        <v>0</v>
      </c>
      <c r="B1" s="31"/>
      <c r="C1" s="31"/>
      <c r="D1" s="31"/>
    </row>
    <row r="2" spans="1:4" ht="17.5" x14ac:dyDescent="0.35">
      <c r="A2" s="38" t="s">
        <v>31</v>
      </c>
      <c r="B2" s="38"/>
      <c r="C2" s="39"/>
      <c r="D2" s="4" t="s">
        <v>1</v>
      </c>
    </row>
    <row r="4" spans="1:4" ht="12" customHeight="1" x14ac:dyDescent="0.3">
      <c r="A4" s="32" t="s">
        <v>2</v>
      </c>
      <c r="B4" s="32" t="s">
        <v>3</v>
      </c>
      <c r="C4" s="33"/>
      <c r="D4" s="5" t="s">
        <v>4</v>
      </c>
    </row>
    <row r="5" spans="1:4" ht="13" thickBot="1" x14ac:dyDescent="0.3">
      <c r="A5" s="34"/>
      <c r="B5" s="34"/>
      <c r="C5" s="35"/>
      <c r="D5" s="6" t="s">
        <v>5</v>
      </c>
    </row>
    <row r="6" spans="1:4" ht="12.75" customHeight="1" x14ac:dyDescent="0.25">
      <c r="A6" s="30">
        <v>45992</v>
      </c>
      <c r="B6" s="36" t="s">
        <v>12</v>
      </c>
      <c r="C6" s="37"/>
      <c r="D6" s="7">
        <v>4</v>
      </c>
    </row>
    <row r="7" spans="1:4" x14ac:dyDescent="0.25">
      <c r="A7" s="21"/>
      <c r="B7" s="25" t="s">
        <v>13</v>
      </c>
      <c r="C7" s="26"/>
      <c r="D7" s="8">
        <v>4</v>
      </c>
    </row>
    <row r="8" spans="1:4" x14ac:dyDescent="0.25">
      <c r="A8" s="21"/>
      <c r="D8" s="8"/>
    </row>
    <row r="9" spans="1:4" x14ac:dyDescent="0.25">
      <c r="A9" s="21"/>
      <c r="B9" s="25"/>
      <c r="C9" s="26"/>
      <c r="D9" s="8"/>
    </row>
    <row r="10" spans="1:4" x14ac:dyDescent="0.25">
      <c r="A10" s="21"/>
      <c r="B10" s="25"/>
      <c r="C10" s="26"/>
      <c r="D10" s="8"/>
    </row>
    <row r="11" spans="1:4" x14ac:dyDescent="0.25">
      <c r="A11" s="21"/>
      <c r="B11" s="2" t="s">
        <v>6</v>
      </c>
      <c r="C11" s="3" t="s">
        <v>7</v>
      </c>
      <c r="D11" s="9">
        <f>SUM(D6:D10)</f>
        <v>8</v>
      </c>
    </row>
    <row r="12" spans="1:4" ht="25" customHeight="1" x14ac:dyDescent="0.25">
      <c r="A12" s="21"/>
      <c r="B12" s="27"/>
      <c r="C12" s="28"/>
      <c r="D12" s="29"/>
    </row>
    <row r="13" spans="1:4" ht="12.75" customHeight="1" x14ac:dyDescent="0.25">
      <c r="A13" s="20">
        <v>45993</v>
      </c>
      <c r="B13" s="23" t="s">
        <v>14</v>
      </c>
      <c r="C13" s="24"/>
      <c r="D13" s="7">
        <v>1</v>
      </c>
    </row>
    <row r="14" spans="1:4" x14ac:dyDescent="0.25">
      <c r="A14" s="21"/>
      <c r="B14" s="25" t="s">
        <v>32</v>
      </c>
      <c r="C14" s="26"/>
      <c r="D14" s="8">
        <v>1</v>
      </c>
    </row>
    <row r="15" spans="1:4" x14ac:dyDescent="0.25">
      <c r="A15" s="21"/>
      <c r="B15" s="25"/>
      <c r="C15" s="26"/>
      <c r="D15" s="8"/>
    </row>
    <row r="16" spans="1:4" x14ac:dyDescent="0.25">
      <c r="A16" s="21"/>
      <c r="B16" s="25"/>
      <c r="C16" s="26"/>
      <c r="D16" s="8"/>
    </row>
    <row r="17" spans="1:4" x14ac:dyDescent="0.25">
      <c r="A17" s="21"/>
      <c r="B17" s="25"/>
      <c r="C17" s="26"/>
      <c r="D17" s="8"/>
    </row>
    <row r="18" spans="1:4" x14ac:dyDescent="0.25">
      <c r="A18" s="21"/>
      <c r="B18" s="2" t="s">
        <v>6</v>
      </c>
      <c r="C18" s="3" t="s">
        <v>7</v>
      </c>
      <c r="D18" s="9">
        <f>SUM(D13:D17)</f>
        <v>2</v>
      </c>
    </row>
    <row r="19" spans="1:4" ht="25" customHeight="1" x14ac:dyDescent="0.25">
      <c r="A19" s="21"/>
      <c r="B19" s="27"/>
      <c r="C19" s="28"/>
      <c r="D19" s="29"/>
    </row>
    <row r="20" spans="1:4" ht="12.75" customHeight="1" x14ac:dyDescent="0.25">
      <c r="A20" s="20">
        <v>46000</v>
      </c>
      <c r="B20" s="23" t="s">
        <v>34</v>
      </c>
      <c r="C20" s="24"/>
      <c r="D20" s="7">
        <v>0.2</v>
      </c>
    </row>
    <row r="21" spans="1:4" x14ac:dyDescent="0.25">
      <c r="A21" s="21"/>
      <c r="B21" s="25" t="s">
        <v>33</v>
      </c>
      <c r="C21" s="26"/>
      <c r="D21" s="8">
        <v>1</v>
      </c>
    </row>
    <row r="22" spans="1:4" x14ac:dyDescent="0.25">
      <c r="A22" s="21"/>
      <c r="B22" s="25" t="s">
        <v>35</v>
      </c>
      <c r="C22" s="26"/>
      <c r="D22" s="8">
        <v>1</v>
      </c>
    </row>
    <row r="23" spans="1:4" x14ac:dyDescent="0.25">
      <c r="A23" s="21"/>
      <c r="B23" s="25" t="s">
        <v>36</v>
      </c>
      <c r="C23" s="26"/>
      <c r="D23" s="8">
        <v>1</v>
      </c>
    </row>
    <row r="24" spans="1:4" x14ac:dyDescent="0.25">
      <c r="A24" s="21"/>
      <c r="B24" s="25" t="s">
        <v>37</v>
      </c>
      <c r="C24" s="26"/>
      <c r="D24" s="8">
        <v>0.8</v>
      </c>
    </row>
    <row r="25" spans="1:4" x14ac:dyDescent="0.25">
      <c r="A25" s="21"/>
      <c r="B25" s="2" t="s">
        <v>6</v>
      </c>
      <c r="C25" s="3" t="s">
        <v>7</v>
      </c>
      <c r="D25" s="9">
        <f>SUM(D20:D24)</f>
        <v>4</v>
      </c>
    </row>
    <row r="26" spans="1:4" ht="25" customHeight="1" x14ac:dyDescent="0.25">
      <c r="A26" s="21"/>
      <c r="B26" s="27"/>
      <c r="C26" s="28"/>
      <c r="D26" s="29"/>
    </row>
    <row r="27" spans="1:4" ht="12.75" customHeight="1" x14ac:dyDescent="0.25">
      <c r="A27" s="20">
        <v>46006</v>
      </c>
      <c r="B27" s="23" t="s">
        <v>34</v>
      </c>
      <c r="C27" s="24"/>
      <c r="D27" s="7">
        <v>0.2</v>
      </c>
    </row>
    <row r="28" spans="1:4" x14ac:dyDescent="0.25">
      <c r="A28" s="21"/>
      <c r="B28" s="25" t="s">
        <v>35</v>
      </c>
      <c r="C28" s="26"/>
      <c r="D28" s="8">
        <v>1</v>
      </c>
    </row>
    <row r="29" spans="1:4" x14ac:dyDescent="0.25">
      <c r="A29" s="21"/>
      <c r="B29" s="25" t="s">
        <v>43</v>
      </c>
      <c r="C29" s="26"/>
      <c r="D29" s="8">
        <v>1.5</v>
      </c>
    </row>
    <row r="30" spans="1:4" x14ac:dyDescent="0.25">
      <c r="A30" s="21"/>
      <c r="B30" s="25" t="s">
        <v>41</v>
      </c>
      <c r="C30" s="26"/>
      <c r="D30" s="8">
        <v>5</v>
      </c>
    </row>
    <row r="31" spans="1:4" x14ac:dyDescent="0.25">
      <c r="A31" s="21"/>
      <c r="B31" s="25" t="s">
        <v>42</v>
      </c>
      <c r="C31" s="26"/>
      <c r="D31" s="8">
        <v>0.3</v>
      </c>
    </row>
    <row r="32" spans="1:4" x14ac:dyDescent="0.25">
      <c r="A32" s="21"/>
      <c r="B32" s="2" t="s">
        <v>6</v>
      </c>
      <c r="C32" s="3" t="s">
        <v>7</v>
      </c>
      <c r="D32" s="9">
        <f>SUM(D27:D31)</f>
        <v>8</v>
      </c>
    </row>
    <row r="33" spans="1:4" ht="25" customHeight="1" x14ac:dyDescent="0.25">
      <c r="A33" s="21"/>
      <c r="B33" s="27" t="s">
        <v>45</v>
      </c>
      <c r="C33" s="28"/>
      <c r="D33" s="29"/>
    </row>
    <row r="34" spans="1:4" ht="12.75" customHeight="1" x14ac:dyDescent="0.25">
      <c r="A34" s="20">
        <v>46007</v>
      </c>
      <c r="B34" s="23" t="s">
        <v>50</v>
      </c>
      <c r="C34" s="24"/>
      <c r="D34" s="7">
        <v>0.8</v>
      </c>
    </row>
    <row r="35" spans="1:4" x14ac:dyDescent="0.25">
      <c r="A35" s="21"/>
      <c r="B35" s="25" t="s">
        <v>51</v>
      </c>
      <c r="C35" s="26"/>
      <c r="D35" s="8">
        <v>2.5</v>
      </c>
    </row>
    <row r="36" spans="1:4" x14ac:dyDescent="0.25">
      <c r="A36" s="21"/>
      <c r="B36" s="25" t="s">
        <v>52</v>
      </c>
      <c r="C36" s="26"/>
      <c r="D36" s="8">
        <v>0.7</v>
      </c>
    </row>
    <row r="37" spans="1:4" x14ac:dyDescent="0.25">
      <c r="A37" s="21"/>
      <c r="B37" s="25"/>
      <c r="C37" s="26"/>
      <c r="D37" s="8"/>
    </row>
    <row r="38" spans="1:4" x14ac:dyDescent="0.25">
      <c r="A38" s="21"/>
      <c r="B38" s="25"/>
      <c r="C38" s="26"/>
      <c r="D38" s="8"/>
    </row>
    <row r="39" spans="1:4" x14ac:dyDescent="0.25">
      <c r="A39" s="21"/>
      <c r="B39" s="2" t="s">
        <v>6</v>
      </c>
      <c r="C39" s="3" t="s">
        <v>7</v>
      </c>
      <c r="D39" s="9">
        <f>SUM(D34:D38)</f>
        <v>4</v>
      </c>
    </row>
    <row r="40" spans="1:4" ht="25" customHeight="1" x14ac:dyDescent="0.25">
      <c r="A40" s="21"/>
      <c r="B40" s="27" t="s">
        <v>45</v>
      </c>
      <c r="C40" s="28"/>
      <c r="D40" s="29"/>
    </row>
    <row r="41" spans="1:4" ht="12.75" customHeight="1" x14ac:dyDescent="0.25">
      <c r="A41" s="20">
        <v>46027</v>
      </c>
      <c r="B41" s="23" t="s">
        <v>59</v>
      </c>
      <c r="C41" s="24"/>
      <c r="D41" s="7">
        <v>1</v>
      </c>
    </row>
    <row r="42" spans="1:4" x14ac:dyDescent="0.25">
      <c r="A42" s="21"/>
      <c r="B42" s="25" t="s">
        <v>60</v>
      </c>
      <c r="C42" s="26"/>
      <c r="D42" s="8">
        <v>6</v>
      </c>
    </row>
    <row r="43" spans="1:4" x14ac:dyDescent="0.25">
      <c r="A43" s="21"/>
      <c r="B43" s="25" t="s">
        <v>61</v>
      </c>
      <c r="C43" s="26"/>
      <c r="D43" s="8">
        <v>1</v>
      </c>
    </row>
    <row r="44" spans="1:4" x14ac:dyDescent="0.25">
      <c r="A44" s="21"/>
      <c r="B44" s="25"/>
      <c r="C44" s="26"/>
      <c r="D44" s="8"/>
    </row>
    <row r="45" spans="1:4" x14ac:dyDescent="0.25">
      <c r="A45" s="21"/>
      <c r="B45" s="25"/>
      <c r="C45" s="26"/>
      <c r="D45" s="8"/>
    </row>
    <row r="46" spans="1:4" x14ac:dyDescent="0.25">
      <c r="A46" s="21"/>
      <c r="B46" s="2" t="s">
        <v>6</v>
      </c>
      <c r="C46" s="3" t="s">
        <v>7</v>
      </c>
      <c r="D46" s="9">
        <f>SUM(D41:D45)</f>
        <v>8</v>
      </c>
    </row>
    <row r="47" spans="1:4" ht="25" customHeight="1" x14ac:dyDescent="0.25">
      <c r="A47" s="22"/>
      <c r="B47" s="17"/>
      <c r="C47" s="18"/>
      <c r="D47" s="19"/>
    </row>
    <row r="48" spans="1:4" ht="12.75" customHeight="1" x14ac:dyDescent="0.25">
      <c r="A48" s="20">
        <v>46028</v>
      </c>
      <c r="B48" s="23" t="s">
        <v>62</v>
      </c>
      <c r="C48" s="24"/>
      <c r="D48" s="7">
        <v>1</v>
      </c>
    </row>
    <row r="49" spans="1:4" x14ac:dyDescent="0.25">
      <c r="A49" s="21"/>
      <c r="B49" s="25" t="s">
        <v>63</v>
      </c>
      <c r="C49" s="26"/>
      <c r="D49" s="8">
        <v>3</v>
      </c>
    </row>
    <row r="50" spans="1:4" x14ac:dyDescent="0.25">
      <c r="A50" s="21"/>
      <c r="B50" s="25"/>
      <c r="C50" s="26"/>
      <c r="D50" s="8"/>
    </row>
    <row r="51" spans="1:4" x14ac:dyDescent="0.25">
      <c r="A51" s="21"/>
      <c r="B51" s="25"/>
      <c r="C51" s="26"/>
      <c r="D51" s="8"/>
    </row>
    <row r="52" spans="1:4" x14ac:dyDescent="0.25">
      <c r="A52" s="21"/>
      <c r="B52" s="25"/>
      <c r="C52" s="26"/>
      <c r="D52" s="8"/>
    </row>
    <row r="53" spans="1:4" x14ac:dyDescent="0.25">
      <c r="A53" s="21"/>
      <c r="B53" s="2" t="s">
        <v>6</v>
      </c>
      <c r="C53" s="3" t="s">
        <v>7</v>
      </c>
      <c r="D53" s="9">
        <f>SUM(D48:D52)</f>
        <v>4</v>
      </c>
    </row>
    <row r="54" spans="1:4" ht="25" customHeight="1" x14ac:dyDescent="0.25">
      <c r="A54" s="22"/>
      <c r="B54" s="17" t="s">
        <v>64</v>
      </c>
      <c r="C54" s="18"/>
      <c r="D54" s="19"/>
    </row>
    <row r="55" spans="1:4" ht="12.75" customHeight="1" x14ac:dyDescent="0.25">
      <c r="A55" s="20">
        <v>46034</v>
      </c>
      <c r="B55" s="23" t="s">
        <v>83</v>
      </c>
      <c r="C55" s="24"/>
      <c r="D55" s="7">
        <v>4</v>
      </c>
    </row>
    <row r="56" spans="1:4" x14ac:dyDescent="0.25">
      <c r="A56" s="21"/>
      <c r="B56" s="25" t="s">
        <v>84</v>
      </c>
      <c r="C56" s="26"/>
      <c r="D56" s="8">
        <v>2</v>
      </c>
    </row>
    <row r="57" spans="1:4" x14ac:dyDescent="0.25">
      <c r="A57" s="21"/>
      <c r="B57" s="25" t="s">
        <v>85</v>
      </c>
      <c r="C57" s="26"/>
      <c r="D57" s="8">
        <v>2</v>
      </c>
    </row>
    <row r="58" spans="1:4" x14ac:dyDescent="0.25">
      <c r="A58" s="21"/>
      <c r="B58" s="25"/>
      <c r="C58" s="26"/>
      <c r="D58" s="8"/>
    </row>
    <row r="59" spans="1:4" x14ac:dyDescent="0.25">
      <c r="A59" s="21"/>
      <c r="B59" s="25"/>
      <c r="C59" s="26"/>
      <c r="D59" s="8"/>
    </row>
    <row r="60" spans="1:4" x14ac:dyDescent="0.25">
      <c r="A60" s="21"/>
      <c r="B60" s="2" t="s">
        <v>6</v>
      </c>
      <c r="C60" s="3" t="s">
        <v>7</v>
      </c>
      <c r="D60" s="9">
        <f>SUM(D55:D59)</f>
        <v>8</v>
      </c>
    </row>
    <row r="61" spans="1:4" ht="25" customHeight="1" x14ac:dyDescent="0.25">
      <c r="A61" s="22"/>
      <c r="B61" s="17" t="s">
        <v>86</v>
      </c>
      <c r="C61" s="18"/>
      <c r="D61" s="19"/>
    </row>
    <row r="62" spans="1:4" ht="12.75" customHeight="1" x14ac:dyDescent="0.25">
      <c r="A62" s="20"/>
      <c r="B62" s="23"/>
      <c r="C62" s="24"/>
      <c r="D62" s="7"/>
    </row>
    <row r="63" spans="1:4" x14ac:dyDescent="0.25">
      <c r="A63" s="21"/>
      <c r="B63" s="25"/>
      <c r="C63" s="26"/>
      <c r="D63" s="8"/>
    </row>
    <row r="64" spans="1:4" x14ac:dyDescent="0.25">
      <c r="A64" s="21"/>
      <c r="B64" s="25"/>
      <c r="C64" s="26"/>
      <c r="D64" s="8"/>
    </row>
    <row r="65" spans="1:4" x14ac:dyDescent="0.25">
      <c r="A65" s="21"/>
      <c r="B65" s="25"/>
      <c r="C65" s="26"/>
      <c r="D65" s="8"/>
    </row>
    <row r="66" spans="1:4" x14ac:dyDescent="0.25">
      <c r="A66" s="21"/>
      <c r="B66" s="25"/>
      <c r="C66" s="26"/>
      <c r="D66" s="8"/>
    </row>
    <row r="67" spans="1:4" x14ac:dyDescent="0.25">
      <c r="A67" s="21"/>
      <c r="B67" s="2" t="s">
        <v>6</v>
      </c>
      <c r="C67" s="3" t="s">
        <v>7</v>
      </c>
      <c r="D67" s="9">
        <f>SUM(D62:D66)</f>
        <v>0</v>
      </c>
    </row>
    <row r="68" spans="1:4" ht="25" customHeight="1" x14ac:dyDescent="0.25">
      <c r="A68" s="21"/>
      <c r="B68" s="27"/>
      <c r="C68" s="28"/>
      <c r="D68" s="29"/>
    </row>
    <row r="69" spans="1:4" ht="12.75" customHeight="1" x14ac:dyDescent="0.25">
      <c r="A69" s="20"/>
      <c r="B69" s="23"/>
      <c r="C69" s="24"/>
      <c r="D69" s="7"/>
    </row>
    <row r="70" spans="1:4" x14ac:dyDescent="0.25">
      <c r="A70" s="21"/>
      <c r="B70" s="25"/>
      <c r="C70" s="26"/>
      <c r="D70" s="8"/>
    </row>
    <row r="71" spans="1:4" x14ac:dyDescent="0.25">
      <c r="A71" s="21"/>
      <c r="B71" s="25"/>
      <c r="C71" s="26"/>
      <c r="D71" s="8"/>
    </row>
    <row r="72" spans="1:4" x14ac:dyDescent="0.25">
      <c r="A72" s="21"/>
      <c r="B72" s="25"/>
      <c r="C72" s="26"/>
      <c r="D72" s="8"/>
    </row>
    <row r="73" spans="1:4" x14ac:dyDescent="0.25">
      <c r="A73" s="21"/>
      <c r="B73" s="25"/>
      <c r="C73" s="26"/>
      <c r="D73" s="8"/>
    </row>
    <row r="74" spans="1:4" x14ac:dyDescent="0.25">
      <c r="A74" s="21"/>
      <c r="B74" s="2" t="s">
        <v>6</v>
      </c>
      <c r="C74" s="3" t="s">
        <v>7</v>
      </c>
      <c r="D74" s="9">
        <f>SUM(D69:D73)</f>
        <v>0</v>
      </c>
    </row>
    <row r="75" spans="1:4" ht="25" customHeight="1" x14ac:dyDescent="0.25">
      <c r="A75" s="22"/>
      <c r="B75" s="17"/>
      <c r="C75" s="18"/>
      <c r="D75" s="19"/>
    </row>
    <row r="76" spans="1:4" ht="12.75" customHeight="1" x14ac:dyDescent="0.25">
      <c r="A76" s="20"/>
      <c r="B76" s="23"/>
      <c r="C76" s="24"/>
      <c r="D76" s="7"/>
    </row>
    <row r="77" spans="1:4" x14ac:dyDescent="0.25">
      <c r="A77" s="21"/>
      <c r="B77" s="25"/>
      <c r="C77" s="26"/>
      <c r="D77" s="8"/>
    </row>
    <row r="78" spans="1:4" x14ac:dyDescent="0.25">
      <c r="A78" s="21"/>
      <c r="B78" s="25"/>
      <c r="C78" s="26"/>
      <c r="D78" s="8"/>
    </row>
    <row r="79" spans="1:4" x14ac:dyDescent="0.25">
      <c r="A79" s="21"/>
      <c r="B79" s="25"/>
      <c r="C79" s="26"/>
      <c r="D79" s="8"/>
    </row>
    <row r="80" spans="1:4" x14ac:dyDescent="0.25">
      <c r="A80" s="21"/>
      <c r="B80" s="25"/>
      <c r="C80" s="26"/>
      <c r="D80" s="8"/>
    </row>
    <row r="81" spans="1:4" x14ac:dyDescent="0.25">
      <c r="A81" s="21"/>
      <c r="B81" s="2" t="s">
        <v>6</v>
      </c>
      <c r="C81" s="3" t="s">
        <v>7</v>
      </c>
      <c r="D81" s="9">
        <f>SUM(D76:D80)</f>
        <v>0</v>
      </c>
    </row>
    <row r="82" spans="1:4" ht="25" customHeight="1" x14ac:dyDescent="0.25">
      <c r="A82" s="22"/>
      <c r="B82" s="17"/>
      <c r="C82" s="18"/>
      <c r="D82" s="19"/>
    </row>
    <row r="83" spans="1:4" ht="12" customHeight="1" x14ac:dyDescent="0.25">
      <c r="A83" s="11"/>
      <c r="B83" s="10"/>
      <c r="C83" s="3" t="s">
        <v>8</v>
      </c>
      <c r="D83" s="12" t="e">
        <f>D11+D18+D25+D32+D39+#REF!+#REF!+D60+D67+D74+D81</f>
        <v>#REF!</v>
      </c>
    </row>
    <row r="84" spans="1:4" x14ac:dyDescent="0.25">
      <c r="A84" s="40" t="s">
        <v>9</v>
      </c>
      <c r="B84" s="40"/>
      <c r="C84" s="40"/>
      <c r="D84" s="40"/>
    </row>
  </sheetData>
  <mergeCells count="81">
    <mergeCell ref="A84:D84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A62:A68"/>
    <mergeCell ref="B62:C62"/>
    <mergeCell ref="B63:C63"/>
    <mergeCell ref="B64:C64"/>
    <mergeCell ref="B65:C65"/>
    <mergeCell ref="B66:C66"/>
    <mergeCell ref="B68:D68"/>
    <mergeCell ref="A55:A61"/>
    <mergeCell ref="B55:C55"/>
    <mergeCell ref="B56:C56"/>
    <mergeCell ref="B57:C57"/>
    <mergeCell ref="B58:C58"/>
    <mergeCell ref="B59:C59"/>
    <mergeCell ref="B61:D61"/>
    <mergeCell ref="A48:A54"/>
    <mergeCell ref="B48:C48"/>
    <mergeCell ref="B49:C49"/>
    <mergeCell ref="B50:C50"/>
    <mergeCell ref="B51:C51"/>
    <mergeCell ref="B52:C52"/>
    <mergeCell ref="B54:D54"/>
    <mergeCell ref="A41:A47"/>
    <mergeCell ref="B41:C41"/>
    <mergeCell ref="B42:C42"/>
    <mergeCell ref="B43:C43"/>
    <mergeCell ref="B44:C44"/>
    <mergeCell ref="B45:C45"/>
    <mergeCell ref="B47:D47"/>
    <mergeCell ref="A34:A40"/>
    <mergeCell ref="B34:C34"/>
    <mergeCell ref="B35:C35"/>
    <mergeCell ref="B36:C36"/>
    <mergeCell ref="B37:C37"/>
    <mergeCell ref="B38:C38"/>
    <mergeCell ref="B40:D40"/>
    <mergeCell ref="A27:A33"/>
    <mergeCell ref="B27:C27"/>
    <mergeCell ref="B28:C28"/>
    <mergeCell ref="B29:C29"/>
    <mergeCell ref="B30:C30"/>
    <mergeCell ref="B31:C31"/>
    <mergeCell ref="B33:D33"/>
    <mergeCell ref="A20:A26"/>
    <mergeCell ref="B20:C20"/>
    <mergeCell ref="B21:C21"/>
    <mergeCell ref="B22:C22"/>
    <mergeCell ref="B23:C23"/>
    <mergeCell ref="B24:C24"/>
    <mergeCell ref="B26:D26"/>
    <mergeCell ref="A13:A19"/>
    <mergeCell ref="B13:C13"/>
    <mergeCell ref="B14:C14"/>
    <mergeCell ref="B15:C15"/>
    <mergeCell ref="B16:C16"/>
    <mergeCell ref="B17:C17"/>
    <mergeCell ref="B19:D19"/>
    <mergeCell ref="A1:D1"/>
    <mergeCell ref="A2:C2"/>
    <mergeCell ref="A4:A5"/>
    <mergeCell ref="B4:C5"/>
    <mergeCell ref="A6:A12"/>
    <mergeCell ref="B6:C6"/>
    <mergeCell ref="B7:C7"/>
    <mergeCell ref="B9:C9"/>
    <mergeCell ref="B10:C10"/>
    <mergeCell ref="B12:D12"/>
  </mergeCells>
  <conditionalFormatting sqref="D6:D11">
    <cfRule type="containsText" dxfId="23" priority="13" operator="containsText" text="Terminé">
      <formula>NOT(ISERROR(SEARCH("Terminé",D6)))</formula>
    </cfRule>
    <cfRule type="containsText" dxfId="22" priority="14" operator="containsText" text="En cours">
      <formula>NOT(ISERROR(SEARCH("En cours",D6)))</formula>
    </cfRule>
  </conditionalFormatting>
  <conditionalFormatting sqref="D13:D18">
    <cfRule type="containsText" dxfId="21" priority="11" operator="containsText" text="Terminé">
      <formula>NOT(ISERROR(SEARCH("Terminé",D13)))</formula>
    </cfRule>
    <cfRule type="containsText" dxfId="20" priority="12" operator="containsText" text="En cours">
      <formula>NOT(ISERROR(SEARCH("En cours",D13)))</formula>
    </cfRule>
  </conditionalFormatting>
  <conditionalFormatting sqref="D20:D25">
    <cfRule type="containsText" dxfId="19" priority="9" operator="containsText" text="Terminé">
      <formula>NOT(ISERROR(SEARCH("Terminé",D20)))</formula>
    </cfRule>
    <cfRule type="containsText" dxfId="18" priority="10" operator="containsText" text="En cours">
      <formula>NOT(ISERROR(SEARCH("En cours",D20)))</formula>
    </cfRule>
  </conditionalFormatting>
  <conditionalFormatting sqref="D27:D32">
    <cfRule type="containsText" dxfId="17" priority="7" operator="containsText" text="Terminé">
      <formula>NOT(ISERROR(SEARCH("Terminé",D27)))</formula>
    </cfRule>
    <cfRule type="containsText" dxfId="16" priority="8" operator="containsText" text="En cours">
      <formula>NOT(ISERROR(SEARCH("En cours",D27)))</formula>
    </cfRule>
  </conditionalFormatting>
  <conditionalFormatting sqref="D34:D39">
    <cfRule type="containsText" dxfId="15" priority="5" operator="containsText" text="Terminé">
      <formula>NOT(ISERROR(SEARCH("Terminé",D34)))</formula>
    </cfRule>
    <cfRule type="containsText" dxfId="14" priority="6" operator="containsText" text="En cours">
      <formula>NOT(ISERROR(SEARCH("En cours",D34)))</formula>
    </cfRule>
  </conditionalFormatting>
  <conditionalFormatting sqref="D41:D46">
    <cfRule type="containsText" dxfId="13" priority="3" operator="containsText" text="Terminé">
      <formula>NOT(ISERROR(SEARCH("Terminé",D41)))</formula>
    </cfRule>
    <cfRule type="containsText" dxfId="12" priority="4" operator="containsText" text="En cours">
      <formula>NOT(ISERROR(SEARCH("En cours",D41)))</formula>
    </cfRule>
  </conditionalFormatting>
  <conditionalFormatting sqref="D48:D53">
    <cfRule type="containsText" dxfId="11" priority="1" operator="containsText" text="Terminé">
      <formula>NOT(ISERROR(SEARCH("Terminé",D48)))</formula>
    </cfRule>
    <cfRule type="containsText" dxfId="10" priority="2" operator="containsText" text="En cours">
      <formula>NOT(ISERROR(SEARCH("En cours",D48)))</formula>
    </cfRule>
  </conditionalFormatting>
  <conditionalFormatting sqref="D55:D60">
    <cfRule type="containsText" dxfId="9" priority="19" operator="containsText" text="Terminé">
      <formula>NOT(ISERROR(SEARCH("Terminé",D55)))</formula>
    </cfRule>
    <cfRule type="containsText" dxfId="8" priority="20" operator="containsText" text="En cours">
      <formula>NOT(ISERROR(SEARCH("En cours",D55)))</formula>
    </cfRule>
  </conditionalFormatting>
  <conditionalFormatting sqref="D62:D67">
    <cfRule type="containsText" dxfId="7" priority="29" operator="containsText" text="Terminé">
      <formula>NOT(ISERROR(SEARCH("Terminé",D62)))</formula>
    </cfRule>
    <cfRule type="containsText" dxfId="6" priority="30" operator="containsText" text="En cours">
      <formula>NOT(ISERROR(SEARCH("En cours",D62)))</formula>
    </cfRule>
  </conditionalFormatting>
  <conditionalFormatting sqref="D69:D74">
    <cfRule type="containsText" dxfId="5" priority="27" operator="containsText" text="Terminé">
      <formula>NOT(ISERROR(SEARCH("Terminé",D69)))</formula>
    </cfRule>
    <cfRule type="containsText" dxfId="4" priority="28" operator="containsText" text="En cours">
      <formula>NOT(ISERROR(SEARCH("En cours",D69)))</formula>
    </cfRule>
  </conditionalFormatting>
  <conditionalFormatting sqref="D76:D81">
    <cfRule type="containsText" dxfId="3" priority="25" operator="containsText" text="Terminé">
      <formula>NOT(ISERROR(SEARCH("Terminé",D76)))</formula>
    </cfRule>
    <cfRule type="containsText" dxfId="2" priority="26" operator="containsText" text="En cours">
      <formula>NOT(ISERROR(SEARCH("En cours",D76)))</formula>
    </cfRule>
  </conditionalFormatting>
  <conditionalFormatting sqref="D83">
    <cfRule type="containsText" dxfId="1" priority="15" operator="containsText" text="Terminé">
      <formula>NOT(ISERROR(SEARCH("Terminé",D83)))</formula>
    </cfRule>
    <cfRule type="containsText" dxfId="0" priority="16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ED954-0C0B-4246-88BC-C0C5C061E08E}">
  <ds:schemaRefs>
    <ds:schemaRef ds:uri="http://schemas.openxmlformats.org/package/2006/metadata/core-properties"/>
    <ds:schemaRef ds:uri="3b60234b-33e6-42ae-ae88-ba7d4a3eedfd"/>
    <ds:schemaRef ds:uri="http://purl.org/dc/elements/1.1/"/>
    <ds:schemaRef ds:uri="http://purl.org/dc/dcmitype/"/>
    <ds:schemaRef ds:uri="8afaa137-8a18-4908-97f4-35fc924e5a91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6</vt:i4>
      </vt:variant>
    </vt:vector>
  </HeadingPairs>
  <TitlesOfParts>
    <vt:vector size="9" baseType="lpstr">
      <vt:lpstr>Journal_BERSIER_NOE</vt:lpstr>
      <vt:lpstr>Journal_MORALES_EMMA</vt:lpstr>
      <vt:lpstr>Journal_Tercier-_Elouan</vt:lpstr>
      <vt:lpstr>Journal_BERSIER_NOE!Druckbereich</vt:lpstr>
      <vt:lpstr>Journal_MORALES_EMMA!Druckbereich</vt:lpstr>
      <vt:lpstr>'Journal_Tercier-_Elouan'!Druckbereich</vt:lpstr>
      <vt:lpstr>Journal_BERSIER_NOE!Drucktitel</vt:lpstr>
      <vt:lpstr>Journal_MORALES_EMMA!Drucktitel</vt:lpstr>
      <vt:lpstr>'Journal_Tercier-_Elouan'!Drucktitel</vt:lpstr>
    </vt:vector>
  </TitlesOfParts>
  <Manager/>
  <Company>EMF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Guisolan Christian</dc:creator>
  <cp:keywords/>
  <dc:description/>
  <cp:lastModifiedBy>Morales Emma</cp:lastModifiedBy>
  <cp:revision/>
  <dcterms:created xsi:type="dcterms:W3CDTF">2002-03-11T12:50:08Z</dcterms:created>
  <dcterms:modified xsi:type="dcterms:W3CDTF">2026-01-12T15:41:28Z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